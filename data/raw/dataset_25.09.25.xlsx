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olbot/finaldt_v4/"/>
    </mc:Choice>
  </mc:AlternateContent>
  <xr:revisionPtr revIDLastSave="0" documentId="13_ncr:1_{D6F3AE98-88D9-C54A-BCE8-CFE6B1364A17}" xr6:coauthVersionLast="47" xr6:coauthVersionMax="47" xr10:uidLastSave="{00000000-0000-0000-0000-000000000000}"/>
  <bookViews>
    <workbookView xWindow="0" yWindow="760" windowWidth="13280" windowHeight="14060" xr2:uid="{241CEE73-11BA-460E-8217-60A304BA33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8" i="1" l="1"/>
  <c r="R59" i="1"/>
  <c r="R60" i="1"/>
  <c r="R61" i="1"/>
  <c r="R62" i="1"/>
  <c r="R63" i="1"/>
  <c r="R64" i="1"/>
  <c r="R65" i="1"/>
  <c r="R66" i="1"/>
  <c r="R57" i="1"/>
  <c r="U41" i="1"/>
  <c r="R41" i="1"/>
  <c r="U40" i="1"/>
  <c r="R40" i="1"/>
  <c r="U39" i="1"/>
  <c r="R39" i="1"/>
  <c r="AT64" i="1"/>
  <c r="AT65" i="1"/>
  <c r="AT66" i="1"/>
  <c r="AT60" i="1"/>
  <c r="AT61" i="1"/>
  <c r="AR38" i="1"/>
  <c r="AS38" i="1" s="1"/>
  <c r="AR39" i="1"/>
  <c r="AR40" i="1"/>
  <c r="AS40" i="1" s="1"/>
  <c r="AR41" i="1"/>
  <c r="AS41" i="1" s="1"/>
  <c r="AR42" i="1"/>
  <c r="AS42" i="1" s="1"/>
  <c r="AR43" i="1"/>
  <c r="AS43" i="1" s="1"/>
  <c r="AR44" i="1"/>
  <c r="AS44" i="1" s="1"/>
  <c r="AR45" i="1"/>
  <c r="AS45" i="1" s="1"/>
  <c r="AR46" i="1"/>
  <c r="AR47" i="1"/>
  <c r="AR48" i="1"/>
  <c r="AR49" i="1"/>
  <c r="AS49" i="1" s="1"/>
  <c r="AT49" i="1" s="1"/>
  <c r="AR50" i="1"/>
  <c r="AS50" i="1" s="1"/>
  <c r="AT50" i="1" s="1"/>
  <c r="AR51" i="1"/>
  <c r="AR52" i="1"/>
  <c r="AR53" i="1"/>
  <c r="AR54" i="1"/>
  <c r="AS54" i="1" s="1"/>
  <c r="AR55" i="1"/>
  <c r="AS55" i="1" s="1"/>
  <c r="AT55" i="1" s="1"/>
  <c r="AR56" i="1"/>
  <c r="AS56" i="1" s="1"/>
  <c r="AT56" i="1" s="1"/>
  <c r="AR57" i="1"/>
  <c r="AS57" i="1" s="1"/>
  <c r="AT57" i="1" s="1"/>
  <c r="AR58" i="1"/>
  <c r="AS58" i="1" s="1"/>
  <c r="AT58" i="1" s="1"/>
  <c r="AR59" i="1"/>
  <c r="AR60" i="1"/>
  <c r="AS60" i="1" s="1"/>
  <c r="AR61" i="1"/>
  <c r="AS61" i="1" s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33" i="1"/>
  <c r="F43" i="1"/>
  <c r="F44" i="1"/>
  <c r="F45" i="1"/>
  <c r="F46" i="1"/>
  <c r="F47" i="1"/>
  <c r="F34" i="1"/>
  <c r="F35" i="1"/>
  <c r="F36" i="1"/>
  <c r="F37" i="1"/>
  <c r="F38" i="1"/>
  <c r="F39" i="1"/>
  <c r="F40" i="1"/>
  <c r="F41" i="1"/>
  <c r="F42" i="1"/>
  <c r="F33" i="1"/>
  <c r="F48" i="1"/>
  <c r="AQ49" i="1"/>
  <c r="AQ48" i="1"/>
  <c r="AT48" i="1" s="1"/>
  <c r="AQ60" i="1"/>
  <c r="AS48" i="1"/>
  <c r="AS59" i="1"/>
  <c r="AT59" i="1" s="1"/>
  <c r="AS51" i="1"/>
  <c r="AS39" i="1"/>
  <c r="AS46" i="1"/>
  <c r="AS47" i="1"/>
  <c r="AQ50" i="1"/>
  <c r="AQ51" i="1"/>
  <c r="AT51" i="1" s="1"/>
  <c r="AQ52" i="1"/>
  <c r="AQ53" i="1"/>
  <c r="AQ54" i="1"/>
  <c r="AQ55" i="1"/>
  <c r="AQ56" i="1"/>
  <c r="AQ57" i="1"/>
  <c r="AQ58" i="1"/>
  <c r="AQ59" i="1"/>
  <c r="AQ61" i="1"/>
  <c r="AQ62" i="1"/>
  <c r="AT62" i="1" s="1"/>
  <c r="AQ63" i="1"/>
  <c r="AT63" i="1" s="1"/>
  <c r="AQ64" i="1"/>
  <c r="AQ65" i="1"/>
  <c r="AQ66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48" i="1"/>
  <c r="AT54" i="1" l="1"/>
  <c r="AS52" i="1"/>
  <c r="AT52" i="1" s="1"/>
  <c r="AS53" i="1"/>
  <c r="AT53" i="1" s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G49" i="1"/>
  <c r="G50" i="1"/>
  <c r="AX65" i="1" l="1"/>
  <c r="BI55" i="1"/>
  <c r="BI56" i="1"/>
  <c r="BI59" i="1"/>
  <c r="BI60" i="1"/>
  <c r="BI61" i="1"/>
  <c r="BI62" i="1"/>
  <c r="BI63" i="1" l="1"/>
  <c r="BI64" i="1"/>
  <c r="BI65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48" i="1"/>
</calcChain>
</file>

<file path=xl/sharedStrings.xml><?xml version="1.0" encoding="utf-8"?>
<sst xmlns="http://schemas.openxmlformats.org/spreadsheetml/2006/main" count="205" uniqueCount="169">
  <si>
    <t>year</t>
  </si>
  <si>
    <t>population</t>
  </si>
  <si>
    <t>kinneret level (m)</t>
  </si>
  <si>
    <t>tot water produced (million m3)</t>
  </si>
  <si>
    <t>tot water produced without desalination (million m3)</t>
  </si>
  <si>
    <t>tot water produced without water reuse (million m3)</t>
  </si>
  <si>
    <t>tot water produced without water reuse and desalination (million m3)</t>
  </si>
  <si>
    <t>total produced by wells (milion m3)</t>
  </si>
  <si>
    <t>produced by Kinneret (milion m3)</t>
  </si>
  <si>
    <t>total produced by Upper water (milion m3)</t>
  </si>
  <si>
    <t>produced by Effluents (milion m3)</t>
  </si>
  <si>
    <t>total water consumed (milion m3)</t>
  </si>
  <si>
    <t>Domestic (milion m3)</t>
  </si>
  <si>
    <t>Industrial (milion m3)</t>
  </si>
  <si>
    <t>Agricultural (milion m3)</t>
  </si>
  <si>
    <t xml:space="preserve"> Water for the environment (milion m3)</t>
  </si>
  <si>
    <t xml:space="preserve">       Other suppliers </t>
  </si>
  <si>
    <t>Average maximum temperatue</t>
  </si>
  <si>
    <t>Average minimum temperatue</t>
  </si>
  <si>
    <t>Mean annual temperature</t>
  </si>
  <si>
    <t>Annual total wet-day precipitation (mm)</t>
  </si>
  <si>
    <t>Extremely wet days (mm)</t>
  </si>
  <si>
    <t>Simple daily intensity index (mm/day)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</si>
  <si>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</si>
  <si>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</si>
  <si>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</si>
  <si>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</si>
  <si>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</si>
  <si>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</si>
  <si>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</si>
  <si>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</si>
  <si>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</si>
  <si>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</si>
  <si>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</si>
  <si>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</si>
  <si>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</si>
  <si>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</si>
  <si>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</si>
  <si>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</si>
  <si>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</si>
  <si>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</si>
  <si>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</si>
  <si>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</si>
  <si>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</si>
  <si>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</si>
  <si>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</si>
  <si>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</si>
  <si>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</si>
  <si>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</si>
  <si>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</si>
  <si>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</si>
  <si>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</si>
  <si>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</si>
  <si>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</si>
  <si>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</si>
  <si>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</si>
  <si>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</si>
  <si>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</si>
  <si>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</si>
  <si>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</si>
  <si>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</si>
  <si>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</si>
  <si>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</si>
  <si>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</si>
  <si>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</si>
  <si>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</si>
  <si>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</si>
  <si>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</si>
  <si>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</si>
  <si>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</si>
  <si>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</si>
  <si>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</si>
  <si>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</si>
  <si>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</si>
  <si>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</si>
  <si>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</si>
  <si>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196</t>
  </si>
  <si>
    <t>277</t>
  </si>
  <si>
    <t>124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</si>
  <si>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</si>
  <si>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</si>
  <si>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</si>
  <si>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</si>
  <si>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</si>
  <si>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</si>
  <si>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</si>
  <si>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</si>
  <si>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</si>
  <si>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</si>
  <si>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</si>
  <si>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</si>
  <si>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Drought index</t>
  </si>
  <si>
    <t>Water tarif for citizens (NIS)</t>
  </si>
  <si>
    <t>Water tarif to desalination plants (NIS)</t>
  </si>
  <si>
    <t>Electricity Price (NIS/kWh)</t>
  </si>
  <si>
    <t>Grid Dependency of Water Sector (%)</t>
  </si>
  <si>
    <t>Backup / Renewable Energy Fraction (%)</t>
  </si>
  <si>
    <t>Conflict Disruption (% supply lost)</t>
  </si>
  <si>
    <t>Conflict Scenario Flag (Y/N)</t>
  </si>
  <si>
    <t>Population Displacement (persons or %)</t>
  </si>
  <si>
    <t>Conflict Severity Index (0-3)</t>
  </si>
  <si>
    <t>Conflict Start Year (YYYY)</t>
  </si>
  <si>
    <t>Conflict Duration (years)</t>
  </si>
  <si>
    <t>Cyber Attack Downtime (days/year or % time)</t>
  </si>
  <si>
    <t>Cybersecurity Scenario Flag (Y/N)</t>
  </si>
  <si>
    <t>Cyber Incident Frequency (incidents/year)</t>
  </si>
  <si>
    <t>Cyber Threat Level Index (0-3)</t>
  </si>
  <si>
    <t>Attack Attempt Frequency (attempts/year)</t>
  </si>
  <si>
    <t>Attack Success Probability (%)</t>
  </si>
  <si>
    <t>Household Income (Low-Income, NIS/year)</t>
  </si>
  <si>
    <t>Affordability Threshold (% income)</t>
  </si>
  <si>
    <t>New Desal Capacity (m³/day or MCM/year)</t>
  </si>
  <si>
    <t>Commissioning Year (YYYY)</t>
  </si>
  <si>
    <t>Plant Location / Region (ID)</t>
  </si>
  <si>
    <t>Scenario Crisis Combination (label)</t>
  </si>
  <si>
    <t>Supply Reliability (%)</t>
  </si>
  <si>
    <t>Resilience Index (dimensionless)</t>
  </si>
  <si>
    <t>Shortfall Severity (MCM or % demand)</t>
  </si>
  <si>
    <t>Mean Recovery Time (days)</t>
  </si>
  <si>
    <t xml:space="preserve">לא קיים </t>
  </si>
  <si>
    <t>60,768 ₪</t>
  </si>
  <si>
    <t xml:space="preserve">49,161 ₪ </t>
  </si>
  <si>
    <t>54,600 ₪</t>
  </si>
  <si>
    <t>53,196 ₪</t>
  </si>
  <si>
    <t>57,432 ₪</t>
  </si>
  <si>
    <t>28,164 ₪</t>
  </si>
  <si>
    <t>47,736 ₪</t>
  </si>
  <si>
    <t>30,684 ₪</t>
  </si>
  <si>
    <t xml:space="preserve">27,072 ₪ </t>
  </si>
  <si>
    <t>N</t>
  </si>
  <si>
    <t>Y</t>
  </si>
  <si>
    <t>23 DAYS</t>
  </si>
  <si>
    <t xml:space="preserve">34 Days </t>
  </si>
  <si>
    <t>8 DAYS</t>
  </si>
  <si>
    <t>59 DAYS</t>
  </si>
  <si>
    <t>11 DAYS</t>
  </si>
  <si>
    <t>3 DAYS</t>
  </si>
  <si>
    <t>17,232 ₪</t>
  </si>
  <si>
    <t>26,292 ₪</t>
  </si>
  <si>
    <t>30,012 ₪</t>
  </si>
  <si>
    <t>34,692 ₪</t>
  </si>
  <si>
    <t xml:space="preserve">32,364 ₪ </t>
  </si>
  <si>
    <t>35,820 ₪</t>
  </si>
  <si>
    <t>32,460 ₪</t>
  </si>
  <si>
    <t>35,016 ₪</t>
  </si>
  <si>
    <t>39,288 ₪</t>
  </si>
  <si>
    <t>Ashdod (MCM/Y)</t>
  </si>
  <si>
    <t>Sorek (MCM/Y)</t>
  </si>
  <si>
    <t>Hadera (MCM/Y)</t>
  </si>
  <si>
    <t>Palmachim (MCM/Y)</t>
  </si>
  <si>
    <t>Ashkelon (MCM/Y)</t>
  </si>
  <si>
    <t>Energy used per desalinated water (kWh)</t>
  </si>
  <si>
    <t>Impairment of functional continuity</t>
  </si>
  <si>
    <t>Intrusion into computer systems</t>
  </si>
  <si>
    <t>Weaknesses in a computer system</t>
  </si>
  <si>
    <t>Water desalination (mCm)</t>
  </si>
  <si>
    <t>Desalinated Water cost for goverment (NIS)</t>
  </si>
  <si>
    <t xml:space="preserve">Total t.o.e. electricty consumed </t>
  </si>
  <si>
    <t>Energy consumed for production desalinated water (kWh) fixed price per m3</t>
  </si>
  <si>
    <t>Total electricity consumed in israel (kWh)</t>
  </si>
  <si>
    <t>Tarif Domestic Use (Initial Cubic Meter) NIS/m3</t>
  </si>
  <si>
    <t>Tarif Domestic Use (Additional Cubic Meter) NIS/m3</t>
  </si>
  <si>
    <t>Tarif Agricultural Use (Treated Water)NIS/m3</t>
  </si>
  <si>
    <t>Tarif Agricultural Use (Saline Water)NIS/m3</t>
  </si>
  <si>
    <t>Tarif Industrial Use (Initial Rate)NIS/m3</t>
  </si>
  <si>
    <t>Tarif Public Gardening (Base Rate)NIS/m3</t>
  </si>
  <si>
    <t>Tarif  Public Gardening (Excess Rate)NIS/m3</t>
  </si>
  <si>
    <t>counting</t>
  </si>
  <si>
    <t xml:space="preserve">counting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</si>
</sst>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\ \ \ \ \ @"/>
    <numFmt numFmtId="165" formatCode="\ \ @"/>
    <numFmt numFmtId="166" formatCode="#,##0\ ;\-#,##0\ ;@\ "/>
    <numFmt numFmtId="167" formatCode="#,##0\ ;\-#,##0\ ;\-\ ;@\ "/>
  </numFmts>
  <fonts count="9" x14ac:knownFonts="1">
    <font>
      <sz val="11"/>
      <color theme="1"/>
      <name val="Aptos Narrow"/>
      <family val="2"/>
      <scheme val="minor"/>
    </font>
    <font>
      <sz val="8"/>
      <color rgb="FF000000"/>
      <name val="Arial"/>
      <family val="2"/>
    </font>
    <font>
      <sz val="8"/>
      <color theme="1"/>
      <name val="Arial"/>
      <family val="2"/>
    </font>
    <font>
      <i/>
      <sz val="8"/>
      <color theme="1"/>
      <name val="Arial"/>
      <family val="2"/>
    </font>
    <font>
      <sz val="11"/>
      <color theme="1"/>
      <name val="Aptos Narrow"/>
      <family val="2"/>
      <scheme val="minor"/>
    </font>
    <font>
      <sz val="8"/>
      <name val="Arial"/>
      <family val="2"/>
    </font>
    <font>
      <sz val="6"/>
      <name val="Arial"/>
      <family val="2"/>
      <charset val="177"/>
    </font>
    <font>
      <b/>
      <sz val="8"/>
      <name val="Arial"/>
      <family val="2"/>
    </font>
    <font>
      <sz val="8"/>
      <color rgb="FF1F1F1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rgb="FFFFF8C6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6" fillId="0" borderId="0" applyNumberFormat="0" applyBorder="0" applyAlignment="0">
      <alignment horizontal="left" readingOrder="1"/>
    </xf>
  </cellStyleXfs>
  <cellXfs count="6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66" fontId="3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right"/>
    </xf>
    <xf numFmtId="49" fontId="2" fillId="0" borderId="0" xfId="0" applyNumberFormat="1" applyFont="1"/>
    <xf numFmtId="2" fontId="2" fillId="0" borderId="0" xfId="0" applyNumberFormat="1" applyFont="1"/>
    <xf numFmtId="166" fontId="2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right" readingOrder="2"/>
    </xf>
    <xf numFmtId="37" fontId="2" fillId="0" borderId="0" xfId="0" applyNumberFormat="1" applyFont="1" applyAlignment="1">
      <alignment horizontal="right"/>
    </xf>
    <xf numFmtId="37" fontId="3" fillId="0" borderId="0" xfId="0" applyNumberFormat="1" applyFont="1" applyAlignment="1">
      <alignment horizontal="right"/>
    </xf>
    <xf numFmtId="166" fontId="2" fillId="0" borderId="0" xfId="0" applyNumberFormat="1" applyFont="1"/>
    <xf numFmtId="37" fontId="2" fillId="0" borderId="0" xfId="0" applyNumberFormat="1" applyFont="1" applyAlignment="1">
      <alignment horizontal="right" vertical="center"/>
    </xf>
    <xf numFmtId="167" fontId="2" fillId="0" borderId="0" xfId="0" applyNumberFormat="1" applyFont="1"/>
    <xf numFmtId="3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3" fontId="2" fillId="0" borderId="0" xfId="0" applyNumberFormat="1" applyFont="1"/>
    <xf numFmtId="164" fontId="2" fillId="0" borderId="3" xfId="0" applyNumberFormat="1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10" fontId="2" fillId="0" borderId="0" xfId="0" applyNumberFormat="1" applyFont="1"/>
    <xf numFmtId="9" fontId="2" fillId="0" borderId="0" xfId="0" applyNumberFormat="1" applyFont="1"/>
    <xf numFmtId="10" fontId="2" fillId="0" borderId="0" xfId="1" applyNumberFormat="1" applyFont="1"/>
    <xf numFmtId="10" fontId="2" fillId="3" borderId="0" xfId="1" applyNumberFormat="1" applyFont="1" applyFill="1"/>
    <xf numFmtId="0" fontId="2" fillId="2" borderId="0" xfId="0" applyFont="1" applyFill="1"/>
    <xf numFmtId="3" fontId="2" fillId="2" borderId="0" xfId="0" applyNumberFormat="1" applyFont="1" applyFill="1"/>
    <xf numFmtId="167" fontId="2" fillId="4" borderId="0" xfId="0" applyNumberFormat="1" applyFont="1" applyFill="1" applyAlignment="1">
      <alignment horizontal="right"/>
    </xf>
    <xf numFmtId="0" fontId="2" fillId="4" borderId="0" xfId="0" applyFont="1" applyFill="1"/>
    <xf numFmtId="0" fontId="2" fillId="0" borderId="0" xfId="0" applyFont="1" applyAlignment="1">
      <alignment horizontal="left"/>
    </xf>
    <xf numFmtId="49" fontId="2" fillId="2" borderId="0" xfId="0" applyNumberFormat="1" applyFont="1" applyFill="1"/>
    <xf numFmtId="167" fontId="2" fillId="2" borderId="0" xfId="0" applyNumberFormat="1" applyFont="1" applyFill="1"/>
    <xf numFmtId="37" fontId="2" fillId="2" borderId="0" xfId="0" applyNumberFormat="1" applyFont="1" applyFill="1"/>
    <xf numFmtId="167" fontId="2" fillId="5" borderId="0" xfId="0" applyNumberFormat="1" applyFont="1" applyFill="1" applyAlignment="1">
      <alignment horizontal="right"/>
    </xf>
    <xf numFmtId="0" fontId="2" fillId="5" borderId="0" xfId="0" applyFont="1" applyFill="1"/>
    <xf numFmtId="0" fontId="1" fillId="0" borderId="2" xfId="0" applyFont="1" applyBorder="1" applyAlignment="1">
      <alignment horizontal="center" vertical="top" wrapText="1"/>
    </xf>
    <xf numFmtId="49" fontId="2" fillId="0" borderId="3" xfId="0" applyNumberFormat="1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165" fontId="2" fillId="0" borderId="3" xfId="0" applyNumberFormat="1" applyFont="1" applyBorder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5" fillId="3" borderId="3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8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37" fontId="5" fillId="0" borderId="0" xfId="0" applyNumberFormat="1" applyFont="1" applyAlignment="1">
      <alignment horizontal="right"/>
    </xf>
    <xf numFmtId="0" fontId="5" fillId="0" borderId="0" xfId="0" applyFont="1"/>
    <xf numFmtId="167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166" fontId="5" fillId="0" borderId="0" xfId="0" applyNumberFormat="1" applyFont="1" applyAlignment="1">
      <alignment horizontal="right"/>
    </xf>
    <xf numFmtId="2" fontId="1" fillId="0" borderId="3" xfId="0" applyNumberFormat="1" applyFont="1" applyBorder="1" applyAlignment="1">
      <alignment horizontal="center" vertical="top" wrapText="1"/>
    </xf>
    <xf numFmtId="2" fontId="1" fillId="0" borderId="0" xfId="0" applyNumberFormat="1" applyFont="1" applyAlignment="1">
      <alignment horizontal="center" vertical="center" wrapText="1"/>
    </xf>
    <xf numFmtId="2" fontId="1" fillId="2" borderId="0" xfId="0" applyNumberFormat="1" applyFont="1" applyFill="1" applyAlignment="1">
      <alignment horizontal="center" vertical="center" wrapText="1"/>
    </xf>
    <xf numFmtId="2" fontId="2" fillId="2" borderId="0" xfId="0" applyNumberFormat="1" applyFont="1" applyFill="1"/>
    <xf numFmtId="2" fontId="2" fillId="0" borderId="3" xfId="0" applyNumberFormat="1" applyFont="1" applyBorder="1" applyAlignment="1">
      <alignment horizontal="center" vertical="top" wrapText="1"/>
    </xf>
    <xf numFmtId="2" fontId="5" fillId="0" borderId="0" xfId="2" applyNumberFormat="1" applyFont="1" applyBorder="1" applyAlignment="1" applyProtection="1">
      <alignment horizontal="right"/>
      <protection locked="0"/>
    </xf>
    <xf numFmtId="167" fontId="2" fillId="4" borderId="0" xfId="0" applyNumberFormat="1" applyFont="1" applyFill="1" applyAlignment="1">
      <alignment horizontal="right" readingOrder="2"/>
    </xf>
    <xf numFmtId="37" fontId="2" fillId="4" borderId="0" xfId="0" applyNumberFormat="1" applyFont="1" applyFill="1" applyAlignment="1">
      <alignment horizontal="right"/>
    </xf>
    <xf numFmtId="167" fontId="2" fillId="6" borderId="0" xfId="0" applyNumberFormat="1" applyFont="1" applyFill="1" applyAlignment="1">
      <alignment horizontal="right" readingOrder="2"/>
    </xf>
    <xf numFmtId="0" fontId="2" fillId="6" borderId="0" xfId="0" applyFont="1" applyFill="1"/>
    <xf numFmtId="167" fontId="2" fillId="6" borderId="0" xfId="0" applyNumberFormat="1" applyFont="1" applyFill="1" applyAlignment="1">
      <alignment horizontal="right"/>
    </xf>
    <xf numFmtId="0" fontId="5" fillId="2" borderId="0" xfId="0" applyFont="1" applyFill="1"/>
    <xf numFmtId="2" fontId="2" fillId="4" borderId="0" xfId="0" applyNumberFormat="1" applyFont="1" applyFill="1"/>
    <xf numFmtId="4" fontId="2" fillId="0" borderId="0" xfId="0" applyNumberFormat="1" applyFont="1"/>
    <xf numFmtId="1" fontId="2" fillId="0" borderId="3" xfId="0" applyNumberFormat="1" applyFont="1" applyBorder="1" applyAlignment="1">
      <alignment horizontal="center" vertical="top" wrapText="1"/>
    </xf>
  </cellXfs>
  <cellStyles count="3">
    <cellStyle name="Normal" xfId="0" builtinId="0"/>
    <cellStyle name="Percentagem" xfId="1" builtinId="5"/>
    <cellStyle name="Text_e" xfId="2" xr:uid="{9411B14D-ED7B-4708-8436-CE393C935F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1F133-CF59-4ACD-90FC-732D59C5F7F5}">
  <dimension ref="A1:BT990"/>
  <sheetViews>
    <sheetView tabSelected="1" topLeftCell="K1" zoomScaleNormal="100" workbookViewId="0">
      <pane ySplit="32" topLeftCell="A33" activePane="bottomLeft" state="frozen"/>
      <selection activeCell="AM1" sqref="AM1"/>
      <selection pane="bottomLeft" activeCell="U41" sqref="U41"/>
    </sheetView>
  </sheetViews>
  <sheetFormatPr baseColWidth="10" defaultColWidth="12.6640625" defaultRowHeight="11" x14ac:dyDescent="0.15"/>
  <cols>
    <col min="1" max="1" width="7.1640625" style="2" customWidth="1"/>
    <col min="2" max="2" width="14.83203125" style="6" customWidth="1"/>
    <col min="3" max="29" width="9.1640625" style="2" customWidth="1"/>
    <col min="30" max="31" width="8.6640625" style="2" customWidth="1"/>
    <col min="32" max="32" width="12.83203125" style="2" bestFit="1" customWidth="1"/>
    <col min="33" max="33" width="12.6640625" style="2"/>
    <col min="34" max="42" width="12.83203125" style="2" bestFit="1" customWidth="1"/>
    <col min="43" max="44" width="12.83203125" style="6" bestFit="1" customWidth="1"/>
    <col min="45" max="45" width="19.83203125" style="6" bestFit="1" customWidth="1"/>
    <col min="46" max="47" width="12.83203125" style="2" bestFit="1" customWidth="1"/>
    <col min="48" max="49" width="12.6640625" style="2"/>
    <col min="50" max="53" width="12.83203125" style="2" bestFit="1" customWidth="1"/>
    <col min="54" max="55" width="12.6640625" style="2"/>
    <col min="56" max="56" width="12.83203125" style="2" bestFit="1" customWidth="1"/>
    <col min="57" max="57" width="12.6640625" style="2"/>
    <col min="58" max="59" width="12.83203125" style="2" bestFit="1" customWidth="1"/>
    <col min="60" max="60" width="12.6640625" style="2"/>
    <col min="61" max="61" width="12.83203125" style="2" bestFit="1" customWidth="1"/>
    <col min="62" max="69" width="12.6640625" style="2"/>
    <col min="70" max="72" width="12.83203125" style="2" bestFit="1" customWidth="1"/>
    <col min="73" max="16384" width="12.6640625" style="2"/>
  </cols>
  <sheetData>
    <row r="1" spans="1:72" s="43" customFormat="1" ht="85.5" customHeight="1" x14ac:dyDescent="0.2">
      <c r="A1" s="34" t="s">
        <v>0</v>
      </c>
      <c r="B1" s="4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35" t="s">
        <v>155</v>
      </c>
      <c r="M1" s="36" t="s">
        <v>146</v>
      </c>
      <c r="N1" s="36" t="s">
        <v>147</v>
      </c>
      <c r="O1" s="36" t="s">
        <v>148</v>
      </c>
      <c r="P1" s="36" t="s">
        <v>149</v>
      </c>
      <c r="Q1" s="36" t="s">
        <v>150</v>
      </c>
      <c r="R1" s="18" t="s">
        <v>11</v>
      </c>
      <c r="S1" s="37" t="s">
        <v>12</v>
      </c>
      <c r="T1" s="37" t="s">
        <v>13</v>
      </c>
      <c r="U1" s="37" t="s">
        <v>14</v>
      </c>
      <c r="V1" s="37" t="s">
        <v>15</v>
      </c>
      <c r="W1" s="35" t="s">
        <v>16</v>
      </c>
      <c r="X1" s="19" t="s">
        <v>17</v>
      </c>
      <c r="Y1" s="19" t="s">
        <v>18</v>
      </c>
      <c r="Z1" s="19" t="s">
        <v>19</v>
      </c>
      <c r="AA1" s="19" t="s">
        <v>20</v>
      </c>
      <c r="AB1" s="19" t="s">
        <v>21</v>
      </c>
      <c r="AC1" s="19" t="s">
        <v>22</v>
      </c>
      <c r="AD1" s="19" t="s">
        <v>91</v>
      </c>
      <c r="AE1" s="19" t="s">
        <v>92</v>
      </c>
      <c r="AF1" s="19" t="s">
        <v>156</v>
      </c>
      <c r="AG1" s="19" t="s">
        <v>93</v>
      </c>
      <c r="AH1" s="38" t="s">
        <v>160</v>
      </c>
      <c r="AI1" s="38" t="s">
        <v>161</v>
      </c>
      <c r="AJ1" s="38" t="s">
        <v>162</v>
      </c>
      <c r="AK1" s="38" t="s">
        <v>163</v>
      </c>
      <c r="AL1" s="38" t="s">
        <v>164</v>
      </c>
      <c r="AM1" s="38" t="s">
        <v>165</v>
      </c>
      <c r="AN1" s="38" t="s">
        <v>166</v>
      </c>
      <c r="AO1" s="19" t="s">
        <v>94</v>
      </c>
      <c r="AP1" s="19" t="s">
        <v>158</v>
      </c>
      <c r="AQ1" s="53" t="s">
        <v>151</v>
      </c>
      <c r="AR1" s="53" t="s">
        <v>157</v>
      </c>
      <c r="AS1" s="53" t="s">
        <v>159</v>
      </c>
      <c r="AT1" s="63" t="s">
        <v>95</v>
      </c>
      <c r="AU1" s="19" t="s">
        <v>96</v>
      </c>
      <c r="AV1" s="19" t="s">
        <v>97</v>
      </c>
      <c r="AW1" s="19" t="s">
        <v>98</v>
      </c>
      <c r="AX1" s="19" t="s">
        <v>99</v>
      </c>
      <c r="AY1" s="19" t="s">
        <v>100</v>
      </c>
      <c r="AZ1" s="19" t="s">
        <v>101</v>
      </c>
      <c r="BA1" s="19" t="s">
        <v>102</v>
      </c>
      <c r="BB1" s="39" t="s">
        <v>103</v>
      </c>
      <c r="BC1" s="40" t="s">
        <v>104</v>
      </c>
      <c r="BD1" s="40" t="s">
        <v>105</v>
      </c>
      <c r="BE1" s="40" t="s">
        <v>106</v>
      </c>
      <c r="BF1" s="40" t="s">
        <v>107</v>
      </c>
      <c r="BG1" s="40" t="s">
        <v>108</v>
      </c>
      <c r="BH1" s="19" t="s">
        <v>109</v>
      </c>
      <c r="BI1" s="19" t="s">
        <v>110</v>
      </c>
      <c r="BJ1" s="19" t="s">
        <v>111</v>
      </c>
      <c r="BK1" s="19" t="s">
        <v>112</v>
      </c>
      <c r="BL1" s="19" t="s">
        <v>113</v>
      </c>
      <c r="BM1" s="19" t="s">
        <v>114</v>
      </c>
      <c r="BN1" s="19" t="s">
        <v>115</v>
      </c>
      <c r="BO1" s="19" t="s">
        <v>116</v>
      </c>
      <c r="BP1" s="19" t="s">
        <v>117</v>
      </c>
      <c r="BQ1" s="41" t="s">
        <v>118</v>
      </c>
      <c r="BR1" s="42" t="s">
        <v>152</v>
      </c>
      <c r="BS1" s="42" t="s">
        <v>153</v>
      </c>
      <c r="BT1" s="42" t="s">
        <v>154</v>
      </c>
    </row>
    <row r="2" spans="1:72" ht="12" hidden="1" x14ac:dyDescent="0.15">
      <c r="A2" s="1" t="s">
        <v>23</v>
      </c>
      <c r="B2" s="50">
        <v>2088699.9999999998</v>
      </c>
      <c r="R2" s="2">
        <v>1274</v>
      </c>
      <c r="S2" s="3">
        <v>192</v>
      </c>
      <c r="T2" s="2">
        <v>50</v>
      </c>
      <c r="U2" s="4">
        <v>1087</v>
      </c>
      <c r="V2" s="5"/>
      <c r="X2" s="6">
        <v>25.19</v>
      </c>
      <c r="Y2" s="6">
        <v>13.43</v>
      </c>
      <c r="Z2" s="6">
        <v>19.309999999999999</v>
      </c>
      <c r="AA2" s="6">
        <v>350.4</v>
      </c>
      <c r="AB2" s="6">
        <v>8.6</v>
      </c>
      <c r="AC2" s="6">
        <v>8.9</v>
      </c>
    </row>
    <row r="3" spans="1:72" ht="12" hidden="1" x14ac:dyDescent="0.15">
      <c r="A3" s="1" t="s">
        <v>24</v>
      </c>
      <c r="B3" s="50">
        <v>2150400</v>
      </c>
      <c r="R3" s="2">
        <v>1230</v>
      </c>
      <c r="S3" s="3">
        <v>187</v>
      </c>
      <c r="T3" s="2">
        <v>50</v>
      </c>
      <c r="U3" s="4">
        <v>1087</v>
      </c>
      <c r="X3" s="6">
        <v>27.08</v>
      </c>
      <c r="Y3" s="6">
        <v>14.91</v>
      </c>
      <c r="Z3" s="6">
        <v>21</v>
      </c>
      <c r="AA3" s="6">
        <v>263.5</v>
      </c>
      <c r="AB3" s="6">
        <v>17.899999999999999</v>
      </c>
      <c r="AC3" s="6">
        <v>8.5</v>
      </c>
    </row>
    <row r="4" spans="1:72" ht="12" hidden="1" x14ac:dyDescent="0.15">
      <c r="A4" s="1" t="s">
        <v>25</v>
      </c>
      <c r="B4" s="50">
        <v>2234200</v>
      </c>
      <c r="R4" s="2">
        <v>1338</v>
      </c>
      <c r="S4" s="4">
        <v>201</v>
      </c>
      <c r="T4" s="2">
        <v>50</v>
      </c>
      <c r="U4" s="4">
        <v>1087</v>
      </c>
      <c r="X4" s="6">
        <v>25.57</v>
      </c>
      <c r="Y4" s="6">
        <v>13.89</v>
      </c>
      <c r="Z4" s="6">
        <v>19.73</v>
      </c>
      <c r="AA4" s="6">
        <v>432.3</v>
      </c>
      <c r="AB4" s="6">
        <v>16.100000000000001</v>
      </c>
      <c r="AC4" s="6">
        <v>10.199999999999999</v>
      </c>
    </row>
    <row r="5" spans="1:72" ht="12" hidden="1" x14ac:dyDescent="0.15">
      <c r="A5" s="1" t="s">
        <v>26</v>
      </c>
      <c r="B5" s="50">
        <v>2331800</v>
      </c>
      <c r="R5" s="7">
        <v>1287</v>
      </c>
      <c r="S5" s="3">
        <v>190</v>
      </c>
      <c r="T5" s="2">
        <v>50</v>
      </c>
      <c r="U5" s="3">
        <v>1047</v>
      </c>
      <c r="X5" s="6">
        <v>26.88</v>
      </c>
      <c r="Y5" s="6">
        <v>14.77</v>
      </c>
      <c r="Z5" s="6">
        <v>20.82</v>
      </c>
      <c r="AA5" s="6">
        <v>424.2</v>
      </c>
      <c r="AB5" s="6">
        <v>47.7</v>
      </c>
      <c r="AC5" s="6">
        <v>11</v>
      </c>
    </row>
    <row r="6" spans="1:72" ht="12" hidden="1" x14ac:dyDescent="0.15">
      <c r="A6" s="1" t="s">
        <v>27</v>
      </c>
      <c r="B6" s="50">
        <v>2430100</v>
      </c>
      <c r="R6" s="7">
        <v>1373</v>
      </c>
      <c r="S6" s="3">
        <v>179</v>
      </c>
      <c r="T6" s="2">
        <v>50</v>
      </c>
      <c r="U6" s="3">
        <v>1144</v>
      </c>
      <c r="X6" s="6">
        <v>26.49</v>
      </c>
      <c r="Y6" s="6">
        <v>14.69</v>
      </c>
      <c r="Z6" s="6">
        <v>20.59</v>
      </c>
      <c r="AA6" s="6">
        <v>306.3</v>
      </c>
      <c r="AB6" s="6">
        <v>11.6</v>
      </c>
      <c r="AC6" s="6">
        <v>9</v>
      </c>
    </row>
    <row r="7" spans="1:72" ht="12" hidden="1" x14ac:dyDescent="0.15">
      <c r="A7" s="1" t="s">
        <v>28</v>
      </c>
      <c r="B7" s="50">
        <v>2525600</v>
      </c>
      <c r="R7" s="7">
        <v>1288</v>
      </c>
      <c r="S7" s="3">
        <v>200</v>
      </c>
      <c r="T7" s="2">
        <v>50</v>
      </c>
      <c r="U7" s="3">
        <v>1038</v>
      </c>
      <c r="X7" s="6">
        <v>25.16</v>
      </c>
      <c r="Y7" s="6">
        <v>13.4</v>
      </c>
      <c r="Z7" s="6">
        <v>19.28</v>
      </c>
      <c r="AA7" s="6">
        <v>580.70000000000005</v>
      </c>
      <c r="AB7" s="6">
        <v>52.2</v>
      </c>
      <c r="AC7" s="6">
        <v>11.2</v>
      </c>
    </row>
    <row r="8" spans="1:72" ht="12" hidden="1" x14ac:dyDescent="0.15">
      <c r="A8" s="1" t="s">
        <v>29</v>
      </c>
      <c r="B8" s="50">
        <v>2598400</v>
      </c>
      <c r="D8" s="8">
        <v>1393</v>
      </c>
      <c r="E8" s="8"/>
      <c r="F8" s="8"/>
      <c r="G8" s="8"/>
      <c r="H8" s="9"/>
      <c r="I8" s="9"/>
      <c r="J8" s="9"/>
      <c r="K8" s="9"/>
      <c r="L8" s="9"/>
      <c r="M8" s="9"/>
      <c r="N8" s="9"/>
      <c r="O8" s="9"/>
      <c r="P8" s="9"/>
      <c r="Q8" s="9"/>
      <c r="R8" s="8">
        <v>1329</v>
      </c>
      <c r="S8" s="8">
        <v>199</v>
      </c>
      <c r="T8" s="8">
        <v>55</v>
      </c>
      <c r="U8" s="8">
        <v>1075</v>
      </c>
      <c r="V8" s="8"/>
      <c r="W8" s="8"/>
      <c r="X8" s="6">
        <v>25.81</v>
      </c>
      <c r="Y8" s="6">
        <v>13.94</v>
      </c>
      <c r="Z8" s="6">
        <v>19.88</v>
      </c>
      <c r="AA8" s="6">
        <v>570.1</v>
      </c>
      <c r="AB8" s="6">
        <v>77.8</v>
      </c>
      <c r="AC8" s="6">
        <v>12.8</v>
      </c>
    </row>
    <row r="9" spans="1:72" ht="12" hidden="1" x14ac:dyDescent="0.15">
      <c r="A9" s="1" t="s">
        <v>30</v>
      </c>
      <c r="B9" s="50">
        <v>2657400</v>
      </c>
      <c r="C9" s="2">
        <v>-210.36583333333337</v>
      </c>
      <c r="E9" s="8"/>
      <c r="F9" s="8"/>
      <c r="G9" s="8"/>
      <c r="H9" s="9"/>
      <c r="R9" s="7">
        <v>1418</v>
      </c>
      <c r="S9" s="2">
        <v>210</v>
      </c>
      <c r="T9" s="2">
        <v>55</v>
      </c>
      <c r="U9" s="3">
        <v>1153</v>
      </c>
      <c r="X9" s="6">
        <v>26.55</v>
      </c>
      <c r="Y9" s="6">
        <v>14.5</v>
      </c>
      <c r="Z9" s="6">
        <v>20.52</v>
      </c>
      <c r="AA9" s="6">
        <v>339.1</v>
      </c>
      <c r="AB9" s="6">
        <v>12.8</v>
      </c>
      <c r="AC9" s="6">
        <v>9.9</v>
      </c>
    </row>
    <row r="10" spans="1:72" ht="12" hidden="1" x14ac:dyDescent="0.15">
      <c r="A10" s="1" t="s">
        <v>31</v>
      </c>
      <c r="B10" s="50">
        <v>2776300</v>
      </c>
      <c r="C10" s="2">
        <v>-209.19466666666671</v>
      </c>
      <c r="E10" s="8"/>
      <c r="F10" s="8"/>
      <c r="G10" s="8"/>
      <c r="H10" s="9"/>
      <c r="R10" s="7">
        <v>1474</v>
      </c>
      <c r="S10" s="2">
        <v>216</v>
      </c>
      <c r="T10" s="2">
        <v>55</v>
      </c>
      <c r="U10" s="3">
        <v>1203</v>
      </c>
      <c r="X10" s="6">
        <v>24.72</v>
      </c>
      <c r="Y10" s="6">
        <v>13.48</v>
      </c>
      <c r="Z10" s="6">
        <v>19.100000000000001</v>
      </c>
      <c r="AA10" s="6">
        <v>597.5</v>
      </c>
      <c r="AB10" s="6">
        <v>41.2</v>
      </c>
      <c r="AC10" s="6">
        <v>11.9</v>
      </c>
    </row>
    <row r="11" spans="1:72" ht="15.75" hidden="1" customHeight="1" x14ac:dyDescent="0.15">
      <c r="A11" s="1" t="s">
        <v>32</v>
      </c>
      <c r="B11" s="50">
        <v>2841100</v>
      </c>
      <c r="C11" s="2">
        <v>-209.30018518518517</v>
      </c>
      <c r="E11" s="8"/>
      <c r="F11" s="8"/>
      <c r="G11" s="8"/>
      <c r="H11" s="9"/>
      <c r="R11" s="7">
        <v>1411</v>
      </c>
      <c r="S11" s="2">
        <v>223</v>
      </c>
      <c r="T11" s="2">
        <v>55</v>
      </c>
      <c r="U11" s="3">
        <v>1133</v>
      </c>
      <c r="X11" s="6">
        <v>25.61</v>
      </c>
      <c r="Y11" s="6">
        <v>14.22</v>
      </c>
      <c r="Z11" s="6">
        <v>19.91</v>
      </c>
      <c r="AA11" s="6">
        <v>446.4</v>
      </c>
      <c r="AB11" s="6">
        <v>13.5</v>
      </c>
      <c r="AC11" s="6">
        <v>9.1999999999999993</v>
      </c>
    </row>
    <row r="12" spans="1:72" ht="15.75" hidden="1" customHeight="1" x14ac:dyDescent="0.15">
      <c r="A12" s="1" t="s">
        <v>33</v>
      </c>
      <c r="B12" s="50">
        <v>2929500</v>
      </c>
      <c r="C12" s="2">
        <v>-209.00586956521741</v>
      </c>
      <c r="E12" s="8"/>
      <c r="F12" s="8"/>
      <c r="G12" s="8"/>
      <c r="H12" s="9"/>
      <c r="R12" s="7">
        <v>1537</v>
      </c>
      <c r="S12" s="2">
        <v>246</v>
      </c>
      <c r="T12" s="2">
        <v>55</v>
      </c>
      <c r="U12" s="3">
        <v>1236</v>
      </c>
      <c r="X12" s="6">
        <v>25.79</v>
      </c>
      <c r="Y12" s="6">
        <v>14.57</v>
      </c>
      <c r="Z12" s="6">
        <v>20.18</v>
      </c>
      <c r="AA12" s="6">
        <v>580.29999999999995</v>
      </c>
      <c r="AB12" s="6">
        <v>36.1</v>
      </c>
      <c r="AC12" s="6">
        <v>11.4</v>
      </c>
    </row>
    <row r="13" spans="1:72" ht="15.75" hidden="1" customHeight="1" x14ac:dyDescent="0.15">
      <c r="A13" s="1" t="s">
        <v>34</v>
      </c>
      <c r="B13" s="50">
        <v>3022100</v>
      </c>
      <c r="C13" s="2">
        <v>-209.4616</v>
      </c>
      <c r="D13" s="8">
        <v>1711</v>
      </c>
      <c r="E13" s="8"/>
      <c r="F13" s="8"/>
      <c r="G13" s="8"/>
      <c r="H13" s="9"/>
      <c r="I13" s="9"/>
      <c r="J13" s="9"/>
      <c r="K13" s="8"/>
      <c r="L13" s="8"/>
      <c r="M13" s="8"/>
      <c r="N13" s="8"/>
      <c r="O13" s="8"/>
      <c r="P13" s="8"/>
      <c r="Q13" s="8"/>
      <c r="R13" s="8">
        <v>1564</v>
      </c>
      <c r="S13" s="8">
        <v>241</v>
      </c>
      <c r="T13" s="8">
        <v>75</v>
      </c>
      <c r="U13" s="8">
        <v>1249</v>
      </c>
      <c r="V13" s="8"/>
      <c r="W13" s="8"/>
      <c r="X13" s="6">
        <v>25.83</v>
      </c>
      <c r="Y13" s="6">
        <v>14.12</v>
      </c>
      <c r="Z13" s="6">
        <v>19.98</v>
      </c>
      <c r="AA13" s="6">
        <v>400.7</v>
      </c>
      <c r="AB13" s="6">
        <v>10.8</v>
      </c>
      <c r="AC13" s="6">
        <v>9.6999999999999993</v>
      </c>
    </row>
    <row r="14" spans="1:72" ht="15.75" hidden="1" customHeight="1" x14ac:dyDescent="0.15">
      <c r="A14" s="1" t="s">
        <v>35</v>
      </c>
      <c r="B14" s="50">
        <v>3120700</v>
      </c>
      <c r="C14" s="2">
        <v>-209.57673913043476</v>
      </c>
      <c r="E14" s="8"/>
      <c r="F14" s="8"/>
      <c r="G14" s="8"/>
      <c r="H14" s="9"/>
      <c r="R14" s="7">
        <v>1659</v>
      </c>
      <c r="S14" s="2">
        <v>265</v>
      </c>
      <c r="T14" s="2">
        <v>75</v>
      </c>
      <c r="U14" s="3">
        <v>1319</v>
      </c>
      <c r="X14" s="6">
        <v>25.16</v>
      </c>
      <c r="Y14" s="6">
        <v>13.98</v>
      </c>
      <c r="Z14" s="6">
        <v>19.57</v>
      </c>
      <c r="AA14" s="6">
        <v>508.6</v>
      </c>
      <c r="AB14" s="6">
        <v>36.4</v>
      </c>
      <c r="AC14" s="6">
        <v>10</v>
      </c>
    </row>
    <row r="15" spans="1:72" ht="15.75" hidden="1" customHeight="1" x14ac:dyDescent="0.15">
      <c r="A15" s="1" t="s">
        <v>36</v>
      </c>
      <c r="B15" s="50">
        <v>3225000</v>
      </c>
      <c r="C15" s="2">
        <v>-209.73099999999994</v>
      </c>
      <c r="E15" s="8"/>
      <c r="F15" s="8"/>
      <c r="G15" s="8"/>
      <c r="H15" s="9"/>
      <c r="R15" s="7">
        <v>1565</v>
      </c>
      <c r="S15" s="2">
        <v>280</v>
      </c>
      <c r="T15" s="2">
        <v>75</v>
      </c>
      <c r="U15" s="3">
        <v>1210</v>
      </c>
      <c r="X15" s="6">
        <v>25.16</v>
      </c>
      <c r="Y15" s="6">
        <v>13.75</v>
      </c>
      <c r="Z15" s="6">
        <v>19.46</v>
      </c>
      <c r="AA15" s="6">
        <v>520.29999999999995</v>
      </c>
      <c r="AB15" s="6">
        <v>18.7</v>
      </c>
      <c r="AC15" s="6">
        <v>10.3</v>
      </c>
    </row>
    <row r="16" spans="1:72" ht="15.75" hidden="1" customHeight="1" x14ac:dyDescent="0.15">
      <c r="A16" s="1" t="s">
        <v>37</v>
      </c>
      <c r="B16" s="50">
        <v>3338200</v>
      </c>
      <c r="C16" s="2">
        <v>-210.71499999999995</v>
      </c>
      <c r="E16" s="8"/>
      <c r="F16" s="8"/>
      <c r="G16" s="8"/>
      <c r="H16" s="9"/>
      <c r="R16" s="7">
        <v>1676</v>
      </c>
      <c r="S16" s="2">
        <v>304</v>
      </c>
      <c r="T16" s="2">
        <v>75</v>
      </c>
      <c r="U16" s="3">
        <v>1297</v>
      </c>
      <c r="X16" s="6">
        <v>25.62</v>
      </c>
      <c r="Y16" s="6">
        <v>13.7</v>
      </c>
      <c r="Z16" s="6">
        <v>19.66</v>
      </c>
      <c r="AA16" s="6">
        <v>356.4</v>
      </c>
      <c r="AB16" s="6">
        <v>10.3</v>
      </c>
      <c r="AC16" s="6">
        <v>10.6</v>
      </c>
    </row>
    <row r="17" spans="1:29" ht="15.75" hidden="1" customHeight="1" x14ac:dyDescent="0.15">
      <c r="A17" s="1" t="s">
        <v>38</v>
      </c>
      <c r="B17" s="50">
        <v>3421600</v>
      </c>
      <c r="C17" s="2">
        <v>-210.43578947368411</v>
      </c>
      <c r="E17" s="8"/>
      <c r="F17" s="8"/>
      <c r="G17" s="8"/>
      <c r="H17" s="9"/>
      <c r="R17" s="7">
        <v>1565</v>
      </c>
      <c r="S17" s="2">
        <v>310</v>
      </c>
      <c r="T17" s="2">
        <v>75</v>
      </c>
      <c r="U17" s="3">
        <v>1180</v>
      </c>
      <c r="X17" s="6">
        <v>25.24</v>
      </c>
      <c r="Y17" s="6">
        <v>13.9</v>
      </c>
      <c r="Z17" s="6">
        <v>19.57</v>
      </c>
      <c r="AA17" s="6">
        <v>620</v>
      </c>
      <c r="AB17" s="6">
        <v>38.799999999999997</v>
      </c>
      <c r="AC17" s="6">
        <v>13.6</v>
      </c>
    </row>
    <row r="18" spans="1:29" ht="15.75" hidden="1" customHeight="1" x14ac:dyDescent="0.15">
      <c r="A18" s="1" t="s">
        <v>39</v>
      </c>
      <c r="B18" s="50">
        <v>3493200</v>
      </c>
      <c r="C18" s="2">
        <v>-210.87924528301883</v>
      </c>
      <c r="E18" s="8"/>
      <c r="F18" s="8"/>
      <c r="G18" s="8"/>
      <c r="H18" s="9"/>
      <c r="R18" s="7">
        <v>1596</v>
      </c>
      <c r="S18" s="2">
        <v>314</v>
      </c>
      <c r="T18" s="2">
        <v>75</v>
      </c>
      <c r="U18" s="3">
        <v>1207</v>
      </c>
      <c r="X18" s="6">
        <v>25.32</v>
      </c>
      <c r="Y18" s="6">
        <v>13.92</v>
      </c>
      <c r="Z18" s="6">
        <v>19.62</v>
      </c>
      <c r="AA18" s="6">
        <v>445.9</v>
      </c>
      <c r="AB18" s="6">
        <v>28.8</v>
      </c>
      <c r="AC18" s="6">
        <v>10.9</v>
      </c>
    </row>
    <row r="19" spans="1:29" ht="15.75" hidden="1" customHeight="1" x14ac:dyDescent="0.15">
      <c r="A19" s="1" t="s">
        <v>40</v>
      </c>
      <c r="B19" s="50">
        <v>3575400</v>
      </c>
      <c r="C19" s="2">
        <v>-210.63625000000002</v>
      </c>
      <c r="E19" s="8"/>
      <c r="F19" s="8"/>
      <c r="G19" s="8"/>
      <c r="H19" s="9"/>
      <c r="R19" s="7">
        <v>1728</v>
      </c>
      <c r="S19" s="2">
        <v>325</v>
      </c>
      <c r="T19" s="2">
        <v>75</v>
      </c>
      <c r="U19" s="3">
        <v>1328</v>
      </c>
      <c r="X19" s="6">
        <v>25.16</v>
      </c>
      <c r="Y19" s="6">
        <v>13.93</v>
      </c>
      <c r="Z19" s="6">
        <v>19.54</v>
      </c>
      <c r="AA19" s="6">
        <v>392.1</v>
      </c>
      <c r="AB19" s="6">
        <v>2.6</v>
      </c>
      <c r="AC19" s="6">
        <v>7.7</v>
      </c>
    </row>
    <row r="20" spans="1:29" ht="15.75" hidden="1" customHeight="1" x14ac:dyDescent="0.15">
      <c r="A20" s="1" t="s">
        <v>41</v>
      </c>
      <c r="B20" s="50">
        <v>3653200</v>
      </c>
      <c r="C20" s="2">
        <v>-210.16148648648644</v>
      </c>
      <c r="E20" s="8"/>
      <c r="F20" s="8"/>
      <c r="G20" s="8"/>
      <c r="H20" s="9"/>
      <c r="R20" s="7">
        <v>1670</v>
      </c>
      <c r="S20" s="2">
        <v>324</v>
      </c>
      <c r="T20" s="2">
        <v>75</v>
      </c>
      <c r="U20" s="3">
        <v>1271</v>
      </c>
      <c r="X20" s="6">
        <v>25.58</v>
      </c>
      <c r="Y20" s="6">
        <v>14.04</v>
      </c>
      <c r="Z20" s="6">
        <v>19.809999999999999</v>
      </c>
      <c r="AA20" s="6">
        <v>498.3</v>
      </c>
      <c r="AB20" s="6">
        <v>28.3</v>
      </c>
      <c r="AC20" s="6">
        <v>10.8</v>
      </c>
    </row>
    <row r="21" spans="1:29" ht="15.75" hidden="1" customHeight="1" x14ac:dyDescent="0.15">
      <c r="A21" s="1" t="s">
        <v>42</v>
      </c>
      <c r="B21" s="50">
        <v>3737600</v>
      </c>
      <c r="C21" s="2">
        <v>-209.53479999999993</v>
      </c>
      <c r="E21" s="8"/>
      <c r="F21" s="8"/>
      <c r="G21" s="8"/>
      <c r="H21" s="9"/>
      <c r="R21" s="7">
        <v>1673</v>
      </c>
      <c r="S21" s="2">
        <v>367</v>
      </c>
      <c r="T21" s="2">
        <v>75</v>
      </c>
      <c r="U21" s="3">
        <v>1231</v>
      </c>
      <c r="X21" s="6">
        <v>25.95</v>
      </c>
      <c r="Y21" s="6">
        <v>13.96</v>
      </c>
      <c r="Z21" s="6">
        <v>19.96</v>
      </c>
      <c r="AA21" s="6">
        <v>430.3</v>
      </c>
      <c r="AB21" s="6">
        <v>19.7</v>
      </c>
      <c r="AC21" s="6">
        <v>12</v>
      </c>
    </row>
    <row r="22" spans="1:29" ht="15.75" hidden="1" customHeight="1" x14ac:dyDescent="0.15">
      <c r="A22" s="1" t="s">
        <v>43</v>
      </c>
      <c r="B22" s="50">
        <v>3836200</v>
      </c>
      <c r="C22" s="2">
        <v>-210.73399999999998</v>
      </c>
      <c r="E22" s="8"/>
      <c r="F22" s="8"/>
      <c r="G22" s="8"/>
      <c r="H22" s="9"/>
      <c r="R22" s="7">
        <v>1790</v>
      </c>
      <c r="S22" s="2">
        <v>388</v>
      </c>
      <c r="T22" s="2">
        <v>75</v>
      </c>
      <c r="U22" s="3">
        <v>1327</v>
      </c>
      <c r="X22" s="6">
        <v>26.21</v>
      </c>
      <c r="Y22" s="6">
        <v>14.69</v>
      </c>
      <c r="Z22" s="6">
        <v>20.45</v>
      </c>
      <c r="AA22" s="6">
        <v>316.60000000000002</v>
      </c>
      <c r="AB22" s="6">
        <v>16.8</v>
      </c>
      <c r="AC22" s="6">
        <v>9.4</v>
      </c>
    </row>
    <row r="23" spans="1:29" ht="15.75" hidden="1" customHeight="1" x14ac:dyDescent="0.15">
      <c r="A23" s="1" t="s">
        <v>44</v>
      </c>
      <c r="B23" s="50">
        <v>3921700</v>
      </c>
      <c r="C23" s="2">
        <v>-209.79741935483875</v>
      </c>
      <c r="D23" s="8">
        <v>1743</v>
      </c>
      <c r="E23" s="8"/>
      <c r="F23" s="8"/>
      <c r="G23" s="8"/>
      <c r="H23" s="9"/>
      <c r="I23" s="8">
        <v>273</v>
      </c>
      <c r="J23" s="8"/>
      <c r="K23" s="8"/>
      <c r="L23" s="8"/>
      <c r="M23" s="8"/>
      <c r="N23" s="8"/>
      <c r="O23" s="8"/>
      <c r="P23" s="8"/>
      <c r="Q23" s="8"/>
      <c r="R23" s="8">
        <v>1700</v>
      </c>
      <c r="S23" s="8">
        <v>375</v>
      </c>
      <c r="T23" s="8">
        <v>90</v>
      </c>
      <c r="U23" s="8">
        <v>1235</v>
      </c>
      <c r="V23" s="8"/>
      <c r="W23" s="8"/>
      <c r="X23" s="6">
        <v>25.6</v>
      </c>
      <c r="Y23" s="6">
        <v>14.07</v>
      </c>
      <c r="Z23" s="6">
        <v>19.84</v>
      </c>
      <c r="AA23" s="6">
        <v>653.20000000000005</v>
      </c>
      <c r="AB23" s="6">
        <v>66.5</v>
      </c>
      <c r="AC23" s="6">
        <v>12.1</v>
      </c>
    </row>
    <row r="24" spans="1:29" ht="15.75" hidden="1" customHeight="1" x14ac:dyDescent="0.15">
      <c r="A24" s="1" t="s">
        <v>45</v>
      </c>
      <c r="B24" s="50">
        <v>3977700</v>
      </c>
      <c r="C24" s="2">
        <v>-209.49587301587295</v>
      </c>
      <c r="E24" s="8"/>
      <c r="F24" s="8"/>
      <c r="G24" s="8"/>
      <c r="H24" s="9"/>
      <c r="R24" s="7">
        <v>1679</v>
      </c>
      <c r="S24" s="2">
        <v>377</v>
      </c>
      <c r="T24" s="2">
        <v>90</v>
      </c>
      <c r="U24" s="3">
        <v>1212</v>
      </c>
      <c r="X24" s="6">
        <v>25.5</v>
      </c>
      <c r="Y24" s="6">
        <v>14.15</v>
      </c>
      <c r="Z24" s="6">
        <v>19.829999999999998</v>
      </c>
      <c r="AA24" s="6">
        <v>478.2</v>
      </c>
      <c r="AB24" s="6">
        <v>49.3</v>
      </c>
      <c r="AC24" s="6">
        <v>11.1</v>
      </c>
    </row>
    <row r="25" spans="1:29" ht="15.75" hidden="1" customHeight="1" x14ac:dyDescent="0.15">
      <c r="A25" s="1" t="s">
        <v>46</v>
      </c>
      <c r="B25" s="50">
        <v>4063600</v>
      </c>
      <c r="C25" s="2">
        <v>-210.51018181818182</v>
      </c>
      <c r="E25" s="8"/>
      <c r="F25" s="8"/>
      <c r="G25" s="8"/>
      <c r="H25" s="9"/>
      <c r="R25" s="7">
        <v>1770</v>
      </c>
      <c r="S25" s="2">
        <v>398</v>
      </c>
      <c r="T25" s="2">
        <v>90</v>
      </c>
      <c r="U25" s="3">
        <v>1282</v>
      </c>
      <c r="X25" s="6">
        <v>24.93</v>
      </c>
      <c r="Y25" s="6">
        <v>13.55</v>
      </c>
      <c r="Z25" s="6">
        <v>19.239999999999998</v>
      </c>
      <c r="AA25" s="6">
        <v>356.4</v>
      </c>
      <c r="AB25" s="6">
        <v>11.2</v>
      </c>
      <c r="AC25" s="6">
        <v>8.3000000000000007</v>
      </c>
    </row>
    <row r="26" spans="1:29" ht="15.75" hidden="1" customHeight="1" x14ac:dyDescent="0.15">
      <c r="A26" s="1" t="s">
        <v>47</v>
      </c>
      <c r="B26" s="50">
        <v>4118600.0000000005</v>
      </c>
      <c r="C26" s="2">
        <v>-210.10369230769231</v>
      </c>
      <c r="E26" s="8"/>
      <c r="F26" s="8"/>
      <c r="G26" s="8"/>
      <c r="H26" s="9"/>
      <c r="R26" s="7">
        <v>1759</v>
      </c>
      <c r="S26" s="2">
        <v>414</v>
      </c>
      <c r="T26" s="2">
        <v>90</v>
      </c>
      <c r="U26" s="3">
        <v>1255</v>
      </c>
      <c r="X26" s="6">
        <v>24.71</v>
      </c>
      <c r="Y26" s="6">
        <v>13.37</v>
      </c>
      <c r="Z26" s="6">
        <v>19.04</v>
      </c>
      <c r="AA26" s="6">
        <v>629.20000000000005</v>
      </c>
      <c r="AB26" s="6">
        <v>31.2</v>
      </c>
      <c r="AC26" s="6">
        <v>11.7</v>
      </c>
    </row>
    <row r="27" spans="1:29" ht="15.75" hidden="1" customHeight="1" x14ac:dyDescent="0.15">
      <c r="A27" s="1" t="s">
        <v>48</v>
      </c>
      <c r="B27" s="50">
        <v>4199700</v>
      </c>
      <c r="C27" s="2">
        <v>-210.09482142857138</v>
      </c>
      <c r="E27" s="8"/>
      <c r="F27" s="8"/>
      <c r="G27" s="8"/>
      <c r="H27" s="9"/>
      <c r="R27" s="7">
        <v>1878</v>
      </c>
      <c r="S27" s="2">
        <v>432</v>
      </c>
      <c r="T27" s="2">
        <v>90</v>
      </c>
      <c r="U27" s="3">
        <v>1356</v>
      </c>
      <c r="X27" s="6">
        <v>25.53</v>
      </c>
      <c r="Y27" s="6">
        <v>13.74</v>
      </c>
      <c r="Z27" s="6">
        <v>19.63</v>
      </c>
      <c r="AA27" s="6">
        <v>340.9</v>
      </c>
      <c r="AB27" s="6">
        <v>13.2</v>
      </c>
      <c r="AC27" s="6">
        <v>9.6999999999999993</v>
      </c>
    </row>
    <row r="28" spans="1:29" ht="15.75" hidden="1" customHeight="1" x14ac:dyDescent="0.15">
      <c r="A28" s="1" t="s">
        <v>49</v>
      </c>
      <c r="B28" s="50">
        <v>4266200</v>
      </c>
      <c r="C28" s="2">
        <v>-210.4993749999999</v>
      </c>
      <c r="E28" s="8"/>
      <c r="F28" s="8"/>
      <c r="G28" s="8"/>
      <c r="H28" s="9"/>
      <c r="R28" s="10">
        <v>1920</v>
      </c>
      <c r="S28" s="2">
        <v>441</v>
      </c>
      <c r="T28" s="2">
        <v>90</v>
      </c>
      <c r="U28" s="11">
        <v>1389</v>
      </c>
      <c r="X28" s="6">
        <v>25.97</v>
      </c>
      <c r="Y28" s="6">
        <v>14.28</v>
      </c>
      <c r="Z28" s="6">
        <v>20.12</v>
      </c>
      <c r="AA28" s="6">
        <v>395.3</v>
      </c>
      <c r="AB28" s="6">
        <v>27.7</v>
      </c>
      <c r="AC28" s="6">
        <v>12.6</v>
      </c>
    </row>
    <row r="29" spans="1:29" ht="15.75" hidden="1" customHeight="1" x14ac:dyDescent="0.15">
      <c r="A29" s="1" t="s">
        <v>50</v>
      </c>
      <c r="B29" s="50">
        <v>4331300</v>
      </c>
      <c r="C29" s="2">
        <v>-211.65458333333339</v>
      </c>
      <c r="E29" s="8"/>
      <c r="F29" s="8"/>
      <c r="G29" s="8"/>
      <c r="H29" s="9"/>
      <c r="R29" s="7">
        <v>1987</v>
      </c>
      <c r="S29" s="2">
        <v>463</v>
      </c>
      <c r="T29" s="2">
        <v>90</v>
      </c>
      <c r="U29" s="3">
        <v>1434</v>
      </c>
      <c r="X29" s="6">
        <v>25.52</v>
      </c>
      <c r="Y29" s="6">
        <v>14.21</v>
      </c>
      <c r="Z29" s="6">
        <v>19.87</v>
      </c>
      <c r="AA29" s="6">
        <v>335.6</v>
      </c>
      <c r="AB29" s="6">
        <v>23.4</v>
      </c>
      <c r="AC29" s="6">
        <v>9.6</v>
      </c>
    </row>
    <row r="30" spans="1:29" ht="15.75" hidden="1" customHeight="1" x14ac:dyDescent="0.15">
      <c r="A30" s="1" t="s">
        <v>51</v>
      </c>
      <c r="B30" s="50">
        <v>4406500</v>
      </c>
      <c r="C30" s="2">
        <v>-210.34888888888898</v>
      </c>
      <c r="E30" s="8"/>
      <c r="F30" s="8"/>
      <c r="G30" s="8"/>
      <c r="H30" s="9"/>
      <c r="R30" s="7">
        <v>1560</v>
      </c>
      <c r="S30" s="2">
        <v>445</v>
      </c>
      <c r="T30" s="2">
        <v>90</v>
      </c>
      <c r="U30" s="3">
        <v>1025</v>
      </c>
      <c r="X30" s="6">
        <v>25.54</v>
      </c>
      <c r="Y30" s="6">
        <v>14.02</v>
      </c>
      <c r="Z30" s="6">
        <v>19.78</v>
      </c>
      <c r="AA30" s="6">
        <v>558.1</v>
      </c>
      <c r="AB30" s="6">
        <v>52.5</v>
      </c>
      <c r="AC30" s="6">
        <v>10.5</v>
      </c>
    </row>
    <row r="31" spans="1:29" ht="15.75" hidden="1" customHeight="1" x14ac:dyDescent="0.15">
      <c r="A31" s="1" t="s">
        <v>52</v>
      </c>
      <c r="B31" s="50">
        <v>4476800</v>
      </c>
      <c r="C31" s="2">
        <v>-209.6261111111111</v>
      </c>
      <c r="E31" s="8"/>
      <c r="F31" s="8"/>
      <c r="G31" s="8"/>
      <c r="H31" s="9"/>
      <c r="R31" s="7">
        <v>1749</v>
      </c>
      <c r="S31" s="2">
        <v>480</v>
      </c>
      <c r="T31" s="2">
        <v>90</v>
      </c>
      <c r="U31" s="3">
        <v>1179</v>
      </c>
      <c r="V31" s="12"/>
      <c r="X31" s="6">
        <v>25.65</v>
      </c>
      <c r="Y31" s="6">
        <v>14.41</v>
      </c>
      <c r="Z31" s="6">
        <v>20.03</v>
      </c>
      <c r="AA31" s="6">
        <v>561.9</v>
      </c>
      <c r="AB31" s="6">
        <v>26.3</v>
      </c>
      <c r="AC31" s="6">
        <v>10.1</v>
      </c>
    </row>
    <row r="32" spans="1:29" ht="15.75" hidden="1" customHeight="1" x14ac:dyDescent="0.15">
      <c r="A32" s="1" t="s">
        <v>53</v>
      </c>
      <c r="B32" s="50">
        <v>4559600</v>
      </c>
      <c r="C32" s="2">
        <v>-211.04016949152543</v>
      </c>
      <c r="E32" s="8"/>
      <c r="F32" s="8"/>
      <c r="G32" s="8"/>
      <c r="H32" s="9"/>
      <c r="R32" s="2">
        <v>1768</v>
      </c>
      <c r="S32" s="2">
        <v>498</v>
      </c>
      <c r="T32" s="2">
        <v>90</v>
      </c>
      <c r="U32" s="2">
        <v>1180</v>
      </c>
      <c r="V32" s="12"/>
      <c r="X32" s="6">
        <v>25.81</v>
      </c>
      <c r="Y32" s="6">
        <v>13.89</v>
      </c>
      <c r="Z32" s="6">
        <v>19.850000000000001</v>
      </c>
      <c r="AA32" s="6">
        <v>387</v>
      </c>
      <c r="AB32" s="6">
        <v>6.7</v>
      </c>
      <c r="AC32" s="6">
        <v>10.199999999999999</v>
      </c>
    </row>
    <row r="33" spans="1:60" ht="15.75" customHeight="1" x14ac:dyDescent="0.15">
      <c r="A33" s="1" t="s">
        <v>54</v>
      </c>
      <c r="B33" s="50">
        <v>4821700</v>
      </c>
      <c r="C33" s="2">
        <v>-212.01650000000004</v>
      </c>
      <c r="D33" s="8">
        <v>1939</v>
      </c>
      <c r="E33" s="26"/>
      <c r="F33" s="59">
        <f>D33-K33</f>
        <v>1780</v>
      </c>
      <c r="G33" s="59">
        <f t="shared" ref="G33:G47" si="0">D33-L33-K33</f>
        <v>1780</v>
      </c>
      <c r="H33" s="9">
        <v>1126</v>
      </c>
      <c r="I33" s="8">
        <v>153</v>
      </c>
      <c r="J33" s="8">
        <v>501</v>
      </c>
      <c r="K33" s="8">
        <v>159</v>
      </c>
      <c r="L33" s="55"/>
      <c r="M33" s="55"/>
      <c r="N33" s="55"/>
      <c r="O33" s="55"/>
      <c r="P33" s="55"/>
      <c r="Q33" s="55"/>
      <c r="R33" s="8">
        <v>1804</v>
      </c>
      <c r="S33" s="8">
        <v>439</v>
      </c>
      <c r="T33" s="8">
        <v>106</v>
      </c>
      <c r="U33" s="8">
        <v>1216</v>
      </c>
      <c r="V33" s="26"/>
      <c r="W33" s="26"/>
      <c r="X33" s="6">
        <v>25.89</v>
      </c>
      <c r="Y33" s="6">
        <v>14.33</v>
      </c>
      <c r="Z33" s="6">
        <v>20.11</v>
      </c>
      <c r="AA33" s="6">
        <v>462.4</v>
      </c>
      <c r="AB33" s="6">
        <v>37</v>
      </c>
      <c r="AC33" s="6">
        <v>10.3</v>
      </c>
      <c r="AD33" s="24"/>
      <c r="AE33" s="24"/>
      <c r="AF33" s="27"/>
      <c r="AG33" s="60"/>
      <c r="AH33" s="45"/>
      <c r="AI33" s="45"/>
      <c r="AJ33" s="45"/>
      <c r="AK33" s="45"/>
      <c r="AL33" s="45"/>
      <c r="AM33" s="45"/>
      <c r="AN33" s="45"/>
      <c r="AP33" s="2">
        <v>3.5</v>
      </c>
      <c r="AQ33" s="61"/>
      <c r="AT33" s="27"/>
      <c r="AW33" s="2" t="s">
        <v>129</v>
      </c>
      <c r="AY33" s="2">
        <v>1</v>
      </c>
    </row>
    <row r="34" spans="1:60" ht="15.75" customHeight="1" x14ac:dyDescent="0.15">
      <c r="A34" s="1" t="s">
        <v>55</v>
      </c>
      <c r="B34" s="50">
        <v>5058800</v>
      </c>
      <c r="C34" s="2">
        <v>-212.39713692946063</v>
      </c>
      <c r="D34" s="33">
        <v>1944.7</v>
      </c>
      <c r="E34" s="26"/>
      <c r="F34" s="59">
        <f t="shared" ref="F34:F47" si="1">D34-K34</f>
        <v>1774.7</v>
      </c>
      <c r="G34" s="59">
        <f t="shared" si="0"/>
        <v>1774.7</v>
      </c>
      <c r="H34" s="57">
        <v>1119</v>
      </c>
      <c r="I34" s="58">
        <v>160.69999999999999</v>
      </c>
      <c r="J34" s="59">
        <v>495</v>
      </c>
      <c r="K34" s="59">
        <v>170</v>
      </c>
      <c r="L34" s="27"/>
      <c r="M34" s="27"/>
      <c r="N34" s="27"/>
      <c r="O34" s="27"/>
      <c r="P34" s="27"/>
      <c r="Q34" s="27"/>
      <c r="R34" s="7">
        <v>1484</v>
      </c>
      <c r="S34" s="2">
        <v>515</v>
      </c>
      <c r="T34" s="2">
        <v>106</v>
      </c>
      <c r="U34" s="3">
        <v>939</v>
      </c>
      <c r="V34" s="27"/>
      <c r="W34" s="27"/>
      <c r="X34" s="6">
        <v>25.61</v>
      </c>
      <c r="Y34" s="6">
        <v>14.6</v>
      </c>
      <c r="Z34" s="6">
        <v>20.100000000000001</v>
      </c>
      <c r="AA34" s="6">
        <v>385.4</v>
      </c>
      <c r="AB34" s="6">
        <v>37.9</v>
      </c>
      <c r="AC34" s="6">
        <v>11</v>
      </c>
      <c r="AD34" s="24"/>
      <c r="AE34" s="24"/>
      <c r="AF34" s="27"/>
      <c r="AG34" s="60"/>
      <c r="AH34" s="2">
        <v>2.3199999999999998</v>
      </c>
      <c r="AI34" s="2">
        <v>3.42</v>
      </c>
      <c r="AJ34" s="2">
        <v>1.1000000000000001</v>
      </c>
      <c r="AK34" s="2">
        <v>0.36</v>
      </c>
      <c r="AL34" s="2">
        <v>4.97</v>
      </c>
      <c r="AM34" s="2">
        <v>0.36</v>
      </c>
      <c r="AN34" s="2">
        <v>0.96</v>
      </c>
      <c r="AP34" s="2">
        <v>3.5</v>
      </c>
      <c r="AQ34" s="61"/>
      <c r="AT34" s="27"/>
      <c r="AW34" s="2" t="s">
        <v>129</v>
      </c>
      <c r="AY34" s="2">
        <v>2</v>
      </c>
    </row>
    <row r="35" spans="1:60" ht="15.75" customHeight="1" x14ac:dyDescent="0.15">
      <c r="A35" s="1" t="s">
        <v>56</v>
      </c>
      <c r="B35" s="50">
        <v>5195900</v>
      </c>
      <c r="C35" s="2">
        <v>-209.40668393782383</v>
      </c>
      <c r="D35" s="33">
        <v>1950.4</v>
      </c>
      <c r="E35" s="26"/>
      <c r="F35" s="59">
        <f t="shared" si="1"/>
        <v>1769.4</v>
      </c>
      <c r="G35" s="59">
        <f t="shared" si="0"/>
        <v>1769.4</v>
      </c>
      <c r="H35" s="57">
        <v>1112</v>
      </c>
      <c r="I35" s="58">
        <v>168.4</v>
      </c>
      <c r="J35" s="59">
        <v>489</v>
      </c>
      <c r="K35" s="59">
        <v>181</v>
      </c>
      <c r="L35" s="27"/>
      <c r="M35" s="27"/>
      <c r="N35" s="27"/>
      <c r="O35" s="27"/>
      <c r="P35" s="27"/>
      <c r="Q35" s="27"/>
      <c r="R35" s="10">
        <v>1617</v>
      </c>
      <c r="S35" s="2">
        <v>512</v>
      </c>
      <c r="T35" s="2">
        <v>106</v>
      </c>
      <c r="U35" s="10">
        <v>996</v>
      </c>
      <c r="V35" s="27"/>
      <c r="W35" s="27"/>
      <c r="X35" s="6">
        <v>24.5</v>
      </c>
      <c r="Y35" s="6">
        <v>13.59</v>
      </c>
      <c r="Z35" s="6">
        <v>19.05</v>
      </c>
      <c r="AA35" s="6">
        <v>910</v>
      </c>
      <c r="AB35" s="6">
        <v>170.8</v>
      </c>
      <c r="AC35" s="6">
        <v>15.1</v>
      </c>
      <c r="AD35" s="24"/>
      <c r="AE35" s="24"/>
      <c r="AF35" s="27"/>
      <c r="AG35" s="60"/>
      <c r="AH35" s="2">
        <v>2.5299999999999998</v>
      </c>
      <c r="AI35" s="2">
        <v>3.75</v>
      </c>
      <c r="AJ35" s="2">
        <v>1.2</v>
      </c>
      <c r="AK35" s="2">
        <v>0.36</v>
      </c>
      <c r="AL35" s="2">
        <v>5.44</v>
      </c>
      <c r="AM35" s="2">
        <v>0.36</v>
      </c>
      <c r="AN35" s="2">
        <v>0.96</v>
      </c>
      <c r="AP35" s="2">
        <v>3.5</v>
      </c>
      <c r="AQ35" s="61"/>
      <c r="AT35" s="27"/>
      <c r="AW35" s="2" t="s">
        <v>129</v>
      </c>
      <c r="AY35" s="2">
        <v>1</v>
      </c>
    </row>
    <row r="36" spans="1:60" ht="15.75" customHeight="1" x14ac:dyDescent="0.15">
      <c r="A36" s="1" t="s">
        <v>57</v>
      </c>
      <c r="B36" s="50">
        <v>5327600</v>
      </c>
      <c r="C36" s="2">
        <v>-209.16633802816918</v>
      </c>
      <c r="D36" s="33">
        <v>1956.1</v>
      </c>
      <c r="E36" s="26"/>
      <c r="F36" s="59">
        <f t="shared" si="1"/>
        <v>1764.1</v>
      </c>
      <c r="G36" s="59">
        <f t="shared" si="0"/>
        <v>1764.1</v>
      </c>
      <c r="H36" s="57">
        <v>1105</v>
      </c>
      <c r="I36" s="58">
        <v>176.1</v>
      </c>
      <c r="J36" s="59">
        <v>483</v>
      </c>
      <c r="K36" s="59">
        <v>192</v>
      </c>
      <c r="L36" s="27"/>
      <c r="M36" s="27"/>
      <c r="N36" s="27"/>
      <c r="O36" s="27"/>
      <c r="P36" s="27"/>
      <c r="Q36" s="27"/>
      <c r="R36" s="10">
        <v>1793</v>
      </c>
      <c r="S36" s="2">
        <v>544</v>
      </c>
      <c r="T36" s="2">
        <v>106</v>
      </c>
      <c r="U36" s="10">
        <v>1175</v>
      </c>
      <c r="V36" s="27"/>
      <c r="W36" s="27"/>
      <c r="X36" s="6">
        <v>25.77</v>
      </c>
      <c r="Y36" s="6">
        <v>14.1</v>
      </c>
      <c r="Z36" s="6">
        <v>19.940000000000001</v>
      </c>
      <c r="AA36" s="6">
        <v>525.29999999999995</v>
      </c>
      <c r="AB36" s="6">
        <v>40.299999999999997</v>
      </c>
      <c r="AC36" s="6">
        <v>12.2</v>
      </c>
      <c r="AD36" s="24"/>
      <c r="AE36" s="24"/>
      <c r="AF36" s="27"/>
      <c r="AG36" s="60"/>
      <c r="AH36" s="2">
        <v>2.5299999999999998</v>
      </c>
      <c r="AI36" s="2">
        <v>3.75</v>
      </c>
      <c r="AJ36" s="2">
        <v>1.38</v>
      </c>
      <c r="AK36" s="2">
        <v>0.36</v>
      </c>
      <c r="AL36" s="2">
        <v>5.44</v>
      </c>
      <c r="AM36" s="2">
        <v>0.36</v>
      </c>
      <c r="AN36" s="2">
        <v>0.96</v>
      </c>
      <c r="AP36" s="2">
        <v>3.5</v>
      </c>
      <c r="AQ36" s="61"/>
      <c r="AT36" s="27"/>
      <c r="AW36" s="2" t="s">
        <v>130</v>
      </c>
      <c r="AY36" s="2">
        <v>2</v>
      </c>
      <c r="AZ36" s="2">
        <v>1993</v>
      </c>
      <c r="BA36" s="2">
        <v>3</v>
      </c>
    </row>
    <row r="37" spans="1:60" ht="15.75" customHeight="1" x14ac:dyDescent="0.15">
      <c r="A37" s="1" t="s">
        <v>58</v>
      </c>
      <c r="B37" s="50">
        <v>5471500</v>
      </c>
      <c r="C37" s="2">
        <v>-209.77825174825168</v>
      </c>
      <c r="D37" s="33">
        <v>1961.8</v>
      </c>
      <c r="E37" s="26"/>
      <c r="F37" s="59">
        <f t="shared" si="1"/>
        <v>1758.8</v>
      </c>
      <c r="G37" s="59">
        <f t="shared" si="0"/>
        <v>1758.8</v>
      </c>
      <c r="H37" s="57">
        <v>1098</v>
      </c>
      <c r="I37" s="58">
        <v>183.8</v>
      </c>
      <c r="J37" s="59">
        <v>477</v>
      </c>
      <c r="K37" s="59">
        <v>203</v>
      </c>
      <c r="L37" s="27"/>
      <c r="M37" s="27"/>
      <c r="N37" s="27"/>
      <c r="O37" s="27"/>
      <c r="P37" s="27"/>
      <c r="Q37" s="27"/>
      <c r="R37" s="13">
        <v>1840</v>
      </c>
      <c r="S37" s="2">
        <v>464</v>
      </c>
      <c r="T37" s="2">
        <v>106</v>
      </c>
      <c r="U37" s="10">
        <v>1190</v>
      </c>
      <c r="V37" s="27"/>
      <c r="W37" s="27"/>
      <c r="X37" s="6">
        <v>26.07</v>
      </c>
      <c r="Y37" s="6">
        <v>15.03</v>
      </c>
      <c r="Z37" s="6">
        <v>20.55</v>
      </c>
      <c r="AA37" s="6">
        <v>336.3</v>
      </c>
      <c r="AB37" s="6">
        <v>9.5</v>
      </c>
      <c r="AC37" s="6">
        <v>9.1</v>
      </c>
      <c r="AD37" s="24"/>
      <c r="AE37" s="24"/>
      <c r="AF37" s="27"/>
      <c r="AG37" s="60"/>
      <c r="AH37" s="2">
        <v>2.5299999999999998</v>
      </c>
      <c r="AI37" s="2">
        <v>3.75</v>
      </c>
      <c r="AJ37" s="2">
        <v>1.5</v>
      </c>
      <c r="AK37" s="2">
        <v>0.36</v>
      </c>
      <c r="AL37" s="2">
        <v>5.44</v>
      </c>
      <c r="AM37" s="2">
        <v>0.36</v>
      </c>
      <c r="AN37" s="2">
        <v>0.96</v>
      </c>
      <c r="AP37" s="2">
        <v>3.5</v>
      </c>
      <c r="AQ37" s="61"/>
      <c r="AT37" s="27"/>
      <c r="AW37" s="2" t="s">
        <v>130</v>
      </c>
      <c r="AY37" s="2">
        <v>1</v>
      </c>
      <c r="AZ37" s="2">
        <v>1993</v>
      </c>
      <c r="BA37" s="2">
        <v>3</v>
      </c>
    </row>
    <row r="38" spans="1:60" ht="15.75" customHeight="1" x14ac:dyDescent="0.15">
      <c r="A38" s="1" t="s">
        <v>59</v>
      </c>
      <c r="B38" s="50">
        <v>5612300</v>
      </c>
      <c r="C38" s="2">
        <v>-209.8398013245033</v>
      </c>
      <c r="D38" s="33">
        <v>1967.5</v>
      </c>
      <c r="E38" s="26"/>
      <c r="F38" s="59">
        <f t="shared" si="1"/>
        <v>1753.5</v>
      </c>
      <c r="G38" s="59">
        <f t="shared" si="0"/>
        <v>1753.5</v>
      </c>
      <c r="H38" s="57">
        <v>1091</v>
      </c>
      <c r="I38" s="58">
        <v>191.5</v>
      </c>
      <c r="J38" s="59">
        <v>471</v>
      </c>
      <c r="K38" s="59">
        <v>214</v>
      </c>
      <c r="L38" s="27"/>
      <c r="M38" s="27"/>
      <c r="N38" s="27"/>
      <c r="O38" s="27"/>
      <c r="P38" s="27"/>
      <c r="Q38" s="27"/>
      <c r="R38" s="10">
        <v>1983</v>
      </c>
      <c r="S38" s="2">
        <v>602</v>
      </c>
      <c r="T38" s="2">
        <v>106</v>
      </c>
      <c r="U38" s="11">
        <v>1275</v>
      </c>
      <c r="V38" s="27"/>
      <c r="W38" s="27"/>
      <c r="X38" s="6">
        <v>25.84</v>
      </c>
      <c r="Y38" s="6">
        <v>14.15</v>
      </c>
      <c r="Z38" s="6">
        <v>20</v>
      </c>
      <c r="AA38" s="6">
        <v>574.29999999999995</v>
      </c>
      <c r="AB38" s="6">
        <v>86.2</v>
      </c>
      <c r="AC38" s="6">
        <v>12.3</v>
      </c>
      <c r="AD38" s="24"/>
      <c r="AE38" s="24"/>
      <c r="AF38" s="27"/>
      <c r="AG38" s="60"/>
      <c r="AH38" s="2">
        <v>2.69</v>
      </c>
      <c r="AI38" s="2">
        <v>3.99</v>
      </c>
      <c r="AJ38" s="2">
        <v>1.6</v>
      </c>
      <c r="AK38" s="2">
        <v>0.36</v>
      </c>
      <c r="AL38" s="2">
        <v>5.78</v>
      </c>
      <c r="AM38" s="2">
        <v>0.36</v>
      </c>
      <c r="AN38" s="2">
        <v>0.96</v>
      </c>
      <c r="AP38" s="2">
        <v>3.5</v>
      </c>
      <c r="AQ38" s="61"/>
      <c r="AR38" s="54">
        <f>0.417*B38</f>
        <v>2340329.1</v>
      </c>
      <c r="AS38" s="54">
        <f>AR38*11630</f>
        <v>27218027433</v>
      </c>
      <c r="AT38" s="27"/>
      <c r="AW38" s="2" t="s">
        <v>130</v>
      </c>
      <c r="AY38" s="2">
        <v>1</v>
      </c>
      <c r="AZ38" s="2">
        <v>1993</v>
      </c>
      <c r="BA38" s="2">
        <v>3</v>
      </c>
    </row>
    <row r="39" spans="1:60" ht="15.75" customHeight="1" x14ac:dyDescent="0.15">
      <c r="A39" s="1" t="s">
        <v>60</v>
      </c>
      <c r="B39" s="50">
        <v>5757900</v>
      </c>
      <c r="C39" s="2">
        <v>-210.43891304347832</v>
      </c>
      <c r="D39" s="33">
        <v>1973.2</v>
      </c>
      <c r="E39" s="26"/>
      <c r="F39" s="59">
        <f t="shared" si="1"/>
        <v>1748.2</v>
      </c>
      <c r="G39" s="59">
        <f t="shared" si="0"/>
        <v>1748.2</v>
      </c>
      <c r="H39" s="57">
        <v>1084</v>
      </c>
      <c r="I39" s="58">
        <v>199.2</v>
      </c>
      <c r="J39" s="59">
        <v>465</v>
      </c>
      <c r="K39" s="59">
        <v>225</v>
      </c>
      <c r="L39" s="27"/>
      <c r="M39" s="27"/>
      <c r="N39" s="27"/>
      <c r="O39" s="27"/>
      <c r="P39" s="27"/>
      <c r="Q39" s="27"/>
      <c r="R39" s="10">
        <f>2013-200</f>
        <v>1813</v>
      </c>
      <c r="S39" s="2">
        <v>622</v>
      </c>
      <c r="T39" s="2">
        <v>106</v>
      </c>
      <c r="U39" s="11">
        <f>1285-200</f>
        <v>1085</v>
      </c>
      <c r="V39" s="27"/>
      <c r="W39" s="27"/>
      <c r="X39" s="6">
        <v>26.07</v>
      </c>
      <c r="Y39" s="6">
        <v>14.84</v>
      </c>
      <c r="Z39" s="6">
        <v>20.45</v>
      </c>
      <c r="AA39" s="6">
        <v>439.3</v>
      </c>
      <c r="AB39" s="6">
        <v>20.6</v>
      </c>
      <c r="AC39" s="6">
        <v>9.6999999999999993</v>
      </c>
      <c r="AD39" s="24"/>
      <c r="AE39" s="24"/>
      <c r="AF39" s="27"/>
      <c r="AG39" s="60"/>
      <c r="AH39" s="2">
        <v>2.69</v>
      </c>
      <c r="AI39" s="2">
        <v>3.99</v>
      </c>
      <c r="AJ39" s="2">
        <v>1.62</v>
      </c>
      <c r="AK39" s="2">
        <v>0.36</v>
      </c>
      <c r="AL39" s="2">
        <v>5.78</v>
      </c>
      <c r="AM39" s="2">
        <v>0.36</v>
      </c>
      <c r="AN39" s="2">
        <v>0.96</v>
      </c>
      <c r="AP39" s="2">
        <v>3.5</v>
      </c>
      <c r="AQ39" s="61"/>
      <c r="AR39" s="54">
        <f t="shared" ref="AR39:AR55" si="2">0.417*B39</f>
        <v>2401044.2999999998</v>
      </c>
      <c r="AS39" s="54">
        <f t="shared" ref="AS39:AS61" si="3">AR39*11630</f>
        <v>27924145208.999996</v>
      </c>
      <c r="AT39" s="27"/>
      <c r="AW39" s="2" t="s">
        <v>129</v>
      </c>
      <c r="AY39" s="2">
        <v>2</v>
      </c>
    </row>
    <row r="40" spans="1:60" ht="15.75" customHeight="1" x14ac:dyDescent="0.15">
      <c r="A40" s="1" t="s">
        <v>61</v>
      </c>
      <c r="B40" s="50">
        <v>5900000</v>
      </c>
      <c r="C40" s="2">
        <v>-211.12115107913661</v>
      </c>
      <c r="D40" s="33">
        <v>1978.9</v>
      </c>
      <c r="E40" s="26"/>
      <c r="F40" s="59">
        <f t="shared" si="1"/>
        <v>1742.9</v>
      </c>
      <c r="G40" s="59">
        <f t="shared" si="0"/>
        <v>1742.9</v>
      </c>
      <c r="H40" s="57">
        <v>1077</v>
      </c>
      <c r="I40" s="58">
        <v>206.9</v>
      </c>
      <c r="J40" s="59">
        <v>459</v>
      </c>
      <c r="K40" s="59">
        <v>236</v>
      </c>
      <c r="L40" s="27"/>
      <c r="M40" s="27"/>
      <c r="N40" s="27"/>
      <c r="O40" s="27"/>
      <c r="P40" s="27"/>
      <c r="Q40" s="27"/>
      <c r="R40" s="10">
        <f>2008-200</f>
        <v>1808</v>
      </c>
      <c r="S40" s="2">
        <v>638</v>
      </c>
      <c r="T40" s="2">
        <v>106</v>
      </c>
      <c r="U40" s="11">
        <f>1264-200</f>
        <v>1064</v>
      </c>
      <c r="V40" s="27"/>
      <c r="W40" s="27"/>
      <c r="X40" s="6">
        <v>25.49</v>
      </c>
      <c r="Y40" s="6">
        <v>14.15</v>
      </c>
      <c r="Z40" s="6">
        <v>19.82</v>
      </c>
      <c r="AA40" s="6">
        <v>481.2</v>
      </c>
      <c r="AB40" s="6">
        <v>59.1</v>
      </c>
      <c r="AC40" s="6">
        <v>10.199999999999999</v>
      </c>
      <c r="AD40" s="24"/>
      <c r="AE40" s="24"/>
      <c r="AF40" s="27"/>
      <c r="AG40" s="60"/>
      <c r="AH40" s="2">
        <v>2.69</v>
      </c>
      <c r="AI40" s="2">
        <v>3.99</v>
      </c>
      <c r="AJ40" s="2">
        <v>1.66</v>
      </c>
      <c r="AK40" s="2">
        <v>0.36</v>
      </c>
      <c r="AL40" s="2">
        <v>5.78</v>
      </c>
      <c r="AM40" s="2">
        <v>0.36</v>
      </c>
      <c r="AN40" s="2">
        <v>0.96</v>
      </c>
      <c r="AP40" s="2">
        <v>3.5</v>
      </c>
      <c r="AQ40" s="61"/>
      <c r="AR40" s="54">
        <f t="shared" si="2"/>
        <v>2460300</v>
      </c>
      <c r="AS40" s="54">
        <f t="shared" si="3"/>
        <v>28613289000</v>
      </c>
      <c r="AT40" s="27"/>
      <c r="AW40" s="2" t="s">
        <v>129</v>
      </c>
      <c r="AY40" s="2">
        <v>1</v>
      </c>
    </row>
    <row r="41" spans="1:60" ht="15.75" customHeight="1" x14ac:dyDescent="0.15">
      <c r="A41" s="1" t="s">
        <v>62</v>
      </c>
      <c r="B41" s="50">
        <v>6041400</v>
      </c>
      <c r="C41" s="2">
        <v>-211.48684563758388</v>
      </c>
      <c r="D41" s="33">
        <v>1984.6</v>
      </c>
      <c r="E41" s="26"/>
      <c r="F41" s="59">
        <f t="shared" si="1"/>
        <v>1737.6</v>
      </c>
      <c r="G41" s="59">
        <f t="shared" si="0"/>
        <v>1737.6</v>
      </c>
      <c r="H41" s="57">
        <v>1070</v>
      </c>
      <c r="I41" s="58">
        <v>214.6</v>
      </c>
      <c r="J41" s="59">
        <v>453</v>
      </c>
      <c r="K41" s="59">
        <v>247</v>
      </c>
      <c r="L41" s="27"/>
      <c r="M41" s="27"/>
      <c r="N41" s="27"/>
      <c r="O41" s="27"/>
      <c r="P41" s="27"/>
      <c r="Q41" s="27"/>
      <c r="R41" s="10">
        <f>2166-200</f>
        <v>1966</v>
      </c>
      <c r="S41" s="2">
        <v>695</v>
      </c>
      <c r="T41" s="2">
        <v>106</v>
      </c>
      <c r="U41" s="11">
        <f>1365-200</f>
        <v>1165</v>
      </c>
      <c r="V41" s="27"/>
      <c r="W41" s="27"/>
      <c r="X41" s="6">
        <v>26.67</v>
      </c>
      <c r="Y41" s="6">
        <v>15.25</v>
      </c>
      <c r="Z41" s="6">
        <v>20.96</v>
      </c>
      <c r="AA41" s="6">
        <v>464.2</v>
      </c>
      <c r="AB41" s="6">
        <v>16.8</v>
      </c>
      <c r="AC41" s="6">
        <v>9.6999999999999993</v>
      </c>
      <c r="AD41" s="24"/>
      <c r="AE41" s="24"/>
      <c r="AF41" s="27"/>
      <c r="AG41" s="60"/>
      <c r="AH41" s="2">
        <v>2.69</v>
      </c>
      <c r="AI41" s="2">
        <v>3.99</v>
      </c>
      <c r="AJ41" s="2">
        <v>1.92</v>
      </c>
      <c r="AK41" s="2">
        <v>0.36</v>
      </c>
      <c r="AL41" s="2">
        <v>5.78</v>
      </c>
      <c r="AM41" s="2">
        <v>0.36</v>
      </c>
      <c r="AN41" s="2">
        <v>0.96</v>
      </c>
      <c r="AP41" s="2">
        <v>3.5</v>
      </c>
      <c r="AQ41" s="61"/>
      <c r="AR41" s="54">
        <f t="shared" si="2"/>
        <v>2519263.7999999998</v>
      </c>
      <c r="AS41" s="54">
        <f t="shared" si="3"/>
        <v>29299037993.999996</v>
      </c>
      <c r="AT41" s="27"/>
      <c r="AW41" s="2" t="s">
        <v>129</v>
      </c>
      <c r="AY41" s="2">
        <v>1</v>
      </c>
    </row>
    <row r="42" spans="1:60" ht="15.75" customHeight="1" x14ac:dyDescent="0.15">
      <c r="A42" s="1" t="s">
        <v>63</v>
      </c>
      <c r="B42" s="50">
        <v>6209100</v>
      </c>
      <c r="C42" s="2">
        <v>-212.41546511627914</v>
      </c>
      <c r="D42" s="33">
        <v>1990.3</v>
      </c>
      <c r="E42" s="26"/>
      <c r="F42" s="59">
        <f t="shared" si="1"/>
        <v>1732.3</v>
      </c>
      <c r="G42" s="59">
        <f t="shared" si="0"/>
        <v>1732.3</v>
      </c>
      <c r="H42" s="57">
        <v>1063</v>
      </c>
      <c r="I42" s="58">
        <v>222.3</v>
      </c>
      <c r="J42" s="59">
        <v>447</v>
      </c>
      <c r="K42" s="59">
        <v>258</v>
      </c>
      <c r="L42" s="27"/>
      <c r="M42" s="27"/>
      <c r="N42" s="27"/>
      <c r="O42" s="27"/>
      <c r="P42" s="27"/>
      <c r="Q42" s="27"/>
      <c r="R42" s="10">
        <v>2073</v>
      </c>
      <c r="S42" s="2">
        <v>703</v>
      </c>
      <c r="T42" s="2">
        <v>106</v>
      </c>
      <c r="U42" s="11">
        <v>1264</v>
      </c>
      <c r="V42" s="27"/>
      <c r="W42" s="27"/>
      <c r="X42" s="6">
        <v>26.76</v>
      </c>
      <c r="Y42" s="6">
        <v>15.05</v>
      </c>
      <c r="Z42" s="6">
        <v>20.91</v>
      </c>
      <c r="AA42" s="6">
        <v>215.7</v>
      </c>
      <c r="AB42" s="6">
        <v>5.9</v>
      </c>
      <c r="AC42" s="6">
        <v>8</v>
      </c>
      <c r="AD42" s="24"/>
      <c r="AE42" s="24"/>
      <c r="AF42" s="27"/>
      <c r="AG42" s="60"/>
      <c r="AH42" s="2">
        <v>3.19</v>
      </c>
      <c r="AI42" s="2">
        <v>4.49</v>
      </c>
      <c r="AJ42" s="2">
        <v>2.2799999999999998</v>
      </c>
      <c r="AK42" s="2">
        <v>0.36</v>
      </c>
      <c r="AL42" s="2">
        <v>6.28</v>
      </c>
      <c r="AM42" s="2">
        <v>0.36</v>
      </c>
      <c r="AN42" s="2">
        <v>0.96</v>
      </c>
      <c r="AP42" s="2">
        <v>3.5</v>
      </c>
      <c r="AQ42" s="61"/>
      <c r="AR42" s="54">
        <f t="shared" si="2"/>
        <v>2589194.6999999997</v>
      </c>
      <c r="AS42" s="54">
        <f t="shared" si="3"/>
        <v>30112334360.999996</v>
      </c>
      <c r="AT42" s="27"/>
      <c r="AW42" s="2" t="s">
        <v>129</v>
      </c>
      <c r="AY42" s="2">
        <v>1</v>
      </c>
    </row>
    <row r="43" spans="1:60" ht="15.75" customHeight="1" x14ac:dyDescent="0.15">
      <c r="A43" s="1" t="s">
        <v>64</v>
      </c>
      <c r="B43" s="50">
        <v>6369300</v>
      </c>
      <c r="C43" s="2">
        <v>-212.92441624365475</v>
      </c>
      <c r="D43" s="8">
        <v>1996</v>
      </c>
      <c r="E43" s="26"/>
      <c r="F43" s="59">
        <f t="shared" si="1"/>
        <v>1727</v>
      </c>
      <c r="G43" s="59">
        <f t="shared" si="0"/>
        <v>1727</v>
      </c>
      <c r="H43" s="9">
        <v>1056</v>
      </c>
      <c r="I43" s="8">
        <v>230</v>
      </c>
      <c r="J43" s="8">
        <v>441</v>
      </c>
      <c r="K43" s="8">
        <v>269</v>
      </c>
      <c r="L43" s="26"/>
      <c r="M43" s="26"/>
      <c r="N43" s="26"/>
      <c r="O43" s="26"/>
      <c r="P43" s="26"/>
      <c r="Q43" s="26"/>
      <c r="R43" s="8">
        <v>1924</v>
      </c>
      <c r="S43" s="8">
        <v>662</v>
      </c>
      <c r="T43" s="8">
        <v>124</v>
      </c>
      <c r="U43" s="3">
        <v>1138</v>
      </c>
      <c r="V43" s="26"/>
      <c r="W43" s="26"/>
      <c r="X43" s="6">
        <v>25.84</v>
      </c>
      <c r="Y43" s="6">
        <v>14.58</v>
      </c>
      <c r="Z43" s="6">
        <v>20.21</v>
      </c>
      <c r="AA43" s="6">
        <v>377.7</v>
      </c>
      <c r="AB43" s="6">
        <v>39.5</v>
      </c>
      <c r="AC43" s="6">
        <v>10.7</v>
      </c>
      <c r="AD43" s="24"/>
      <c r="AE43" s="24"/>
      <c r="AF43" s="27"/>
      <c r="AG43" s="60"/>
      <c r="AH43" s="2">
        <v>3.19</v>
      </c>
      <c r="AI43" s="2">
        <v>4.49</v>
      </c>
      <c r="AJ43" s="2">
        <v>2.44</v>
      </c>
      <c r="AK43" s="2">
        <v>0.36</v>
      </c>
      <c r="AL43" s="2">
        <v>6.28</v>
      </c>
      <c r="AM43" s="2">
        <v>0.36</v>
      </c>
      <c r="AN43" s="2">
        <v>0.96</v>
      </c>
      <c r="AP43" s="2">
        <v>3.5</v>
      </c>
      <c r="AQ43" s="61"/>
      <c r="AR43" s="54">
        <f t="shared" si="2"/>
        <v>2655998.1</v>
      </c>
      <c r="AS43" s="54">
        <f t="shared" si="3"/>
        <v>30889257903</v>
      </c>
      <c r="AT43" s="27"/>
      <c r="AW43" s="2" t="s">
        <v>130</v>
      </c>
      <c r="AY43" s="2">
        <v>2</v>
      </c>
      <c r="AZ43" s="2">
        <v>2000</v>
      </c>
      <c r="BA43" s="2">
        <v>5</v>
      </c>
    </row>
    <row r="44" spans="1:60" ht="15.75" customHeight="1" x14ac:dyDescent="0.15">
      <c r="A44" s="1" t="s">
        <v>65</v>
      </c>
      <c r="B44" s="50">
        <v>6508800</v>
      </c>
      <c r="C44" s="2">
        <v>-213.86822314049587</v>
      </c>
      <c r="D44" s="33">
        <v>2013.4</v>
      </c>
      <c r="E44" s="26"/>
      <c r="F44" s="59">
        <f t="shared" si="1"/>
        <v>1731.2</v>
      </c>
      <c r="G44" s="59">
        <f t="shared" si="0"/>
        <v>1731.2</v>
      </c>
      <c r="H44" s="57">
        <v>1021.4</v>
      </c>
      <c r="I44" s="58">
        <v>264.2</v>
      </c>
      <c r="J44" s="59">
        <v>441.6</v>
      </c>
      <c r="K44" s="59">
        <v>282.2</v>
      </c>
      <c r="L44" s="27"/>
      <c r="M44" s="27"/>
      <c r="N44" s="27"/>
      <c r="O44" s="27"/>
      <c r="P44" s="27"/>
      <c r="Q44" s="27"/>
      <c r="R44" s="10">
        <v>1800</v>
      </c>
      <c r="S44" s="2">
        <v>654</v>
      </c>
      <c r="T44" s="2">
        <v>124</v>
      </c>
      <c r="U44" s="11">
        <v>1022</v>
      </c>
      <c r="V44" s="27"/>
      <c r="W44" s="27"/>
      <c r="X44" s="6">
        <v>26.76</v>
      </c>
      <c r="Y44" s="6">
        <v>15.2</v>
      </c>
      <c r="Z44" s="6">
        <v>20.98</v>
      </c>
      <c r="AA44" s="6">
        <v>391.2</v>
      </c>
      <c r="AB44" s="6">
        <v>27.3</v>
      </c>
      <c r="AC44" s="6">
        <v>10.199999999999999</v>
      </c>
      <c r="AD44" s="24"/>
      <c r="AE44" s="24"/>
      <c r="AF44" s="27"/>
      <c r="AG44" s="60"/>
      <c r="AH44" s="2">
        <v>3.53</v>
      </c>
      <c r="AI44" s="2">
        <v>4.8499999999999996</v>
      </c>
      <c r="AJ44" s="2">
        <v>2.5</v>
      </c>
      <c r="AK44" s="2">
        <v>0.36</v>
      </c>
      <c r="AL44" s="2">
        <v>6.67</v>
      </c>
      <c r="AM44" s="2">
        <v>0.36</v>
      </c>
      <c r="AN44" s="2">
        <v>0.96</v>
      </c>
      <c r="AP44" s="2">
        <v>3.5</v>
      </c>
      <c r="AQ44" s="61"/>
      <c r="AR44" s="54">
        <f t="shared" si="2"/>
        <v>2714169.6</v>
      </c>
      <c r="AS44" s="54">
        <f t="shared" si="3"/>
        <v>31565792448</v>
      </c>
      <c r="AT44" s="27"/>
      <c r="AW44" s="2" t="s">
        <v>130</v>
      </c>
      <c r="AY44" s="2">
        <v>2</v>
      </c>
      <c r="AZ44" s="2">
        <v>2000</v>
      </c>
      <c r="BA44" s="2">
        <v>5</v>
      </c>
    </row>
    <row r="45" spans="1:60" ht="15.75" customHeight="1" x14ac:dyDescent="0.15">
      <c r="A45" s="1" t="s">
        <v>66</v>
      </c>
      <c r="B45" s="50">
        <v>6631100</v>
      </c>
      <c r="C45" s="2">
        <v>-213.90518218623495</v>
      </c>
      <c r="D45" s="33">
        <v>2030.8</v>
      </c>
      <c r="E45" s="26"/>
      <c r="F45" s="59">
        <f t="shared" si="1"/>
        <v>1735.4</v>
      </c>
      <c r="G45" s="59">
        <f t="shared" si="0"/>
        <v>1735.4</v>
      </c>
      <c r="H45" s="57">
        <v>986.8</v>
      </c>
      <c r="I45" s="58">
        <v>298.39999999999998</v>
      </c>
      <c r="J45" s="59">
        <v>442.2</v>
      </c>
      <c r="K45" s="59">
        <v>295.39999999999998</v>
      </c>
      <c r="L45" s="27"/>
      <c r="M45" s="27"/>
      <c r="N45" s="27"/>
      <c r="O45" s="27"/>
      <c r="P45" s="27"/>
      <c r="Q45" s="27"/>
      <c r="R45" s="10">
        <v>1831</v>
      </c>
      <c r="S45" s="2">
        <v>686</v>
      </c>
      <c r="T45" s="2">
        <v>124</v>
      </c>
      <c r="U45" s="11">
        <v>1021</v>
      </c>
      <c r="V45" s="27"/>
      <c r="W45" s="27"/>
      <c r="X45" s="6">
        <v>26.53</v>
      </c>
      <c r="Y45" s="6">
        <v>15.2</v>
      </c>
      <c r="Z45" s="6">
        <v>20.86</v>
      </c>
      <c r="AA45" s="6">
        <v>529.70000000000005</v>
      </c>
      <c r="AB45" s="6">
        <v>64.5</v>
      </c>
      <c r="AC45" s="6">
        <v>12.4</v>
      </c>
      <c r="AD45" s="24"/>
      <c r="AE45" s="24"/>
      <c r="AF45" s="27"/>
      <c r="AG45" s="60"/>
      <c r="AH45" s="2">
        <v>3.46</v>
      </c>
      <c r="AI45" s="2">
        <v>4.75</v>
      </c>
      <c r="AJ45" s="2">
        <v>2.52</v>
      </c>
      <c r="AK45" s="2">
        <v>0.36</v>
      </c>
      <c r="AL45" s="2">
        <v>6.52</v>
      </c>
      <c r="AM45" s="2">
        <v>0.36</v>
      </c>
      <c r="AN45" s="2">
        <v>0.96</v>
      </c>
      <c r="AO45" s="2">
        <v>41.8</v>
      </c>
      <c r="AP45" s="2">
        <v>3.5</v>
      </c>
      <c r="AQ45" s="61"/>
      <c r="AR45" s="54">
        <f t="shared" si="2"/>
        <v>2765168.6999999997</v>
      </c>
      <c r="AS45" s="54">
        <f t="shared" si="3"/>
        <v>32158911980.999996</v>
      </c>
      <c r="AT45" s="27"/>
      <c r="AW45" s="2" t="s">
        <v>130</v>
      </c>
      <c r="AY45" s="2">
        <v>2</v>
      </c>
      <c r="AZ45" s="2">
        <v>2000</v>
      </c>
      <c r="BA45" s="2">
        <v>5</v>
      </c>
    </row>
    <row r="46" spans="1:60" ht="15.75" customHeight="1" x14ac:dyDescent="0.15">
      <c r="A46" s="1" t="s">
        <v>67</v>
      </c>
      <c r="B46" s="50">
        <v>6748400</v>
      </c>
      <c r="C46" s="2">
        <v>-210.98248995983931</v>
      </c>
      <c r="D46" s="33">
        <v>2048.1999999999998</v>
      </c>
      <c r="E46" s="26"/>
      <c r="F46" s="59">
        <f t="shared" si="1"/>
        <v>1739.6</v>
      </c>
      <c r="G46" s="59">
        <f t="shared" si="0"/>
        <v>1739.6</v>
      </c>
      <c r="H46" s="57">
        <v>952.2</v>
      </c>
      <c r="I46" s="58">
        <v>332.6</v>
      </c>
      <c r="J46" s="59">
        <v>442.8</v>
      </c>
      <c r="K46" s="59">
        <v>308.60000000000002</v>
      </c>
      <c r="L46" s="27"/>
      <c r="M46" s="27"/>
      <c r="N46" s="27"/>
      <c r="O46" s="27"/>
      <c r="P46" s="27"/>
      <c r="Q46" s="27"/>
      <c r="R46" s="10">
        <v>1860</v>
      </c>
      <c r="S46" s="2">
        <v>691</v>
      </c>
      <c r="T46" s="2">
        <v>124</v>
      </c>
      <c r="U46" s="11">
        <v>1045</v>
      </c>
      <c r="V46" s="27"/>
      <c r="W46" s="27"/>
      <c r="X46" s="6">
        <v>26.26</v>
      </c>
      <c r="Y46" s="6">
        <v>15.11</v>
      </c>
      <c r="Z46" s="6">
        <v>20.68</v>
      </c>
      <c r="AA46" s="6">
        <v>653.70000000000005</v>
      </c>
      <c r="AB46" s="6">
        <v>65.2</v>
      </c>
      <c r="AC46" s="6">
        <v>11.1</v>
      </c>
      <c r="AD46" s="24"/>
      <c r="AE46" s="24"/>
      <c r="AF46" s="27"/>
      <c r="AG46" s="60"/>
      <c r="AH46" s="2">
        <v>4.01</v>
      </c>
      <c r="AI46" s="2">
        <v>5.51</v>
      </c>
      <c r="AJ46" s="2">
        <v>3.09</v>
      </c>
      <c r="AK46" s="2">
        <v>0.36</v>
      </c>
      <c r="AL46" s="2">
        <v>7.59</v>
      </c>
      <c r="AM46" s="2">
        <v>0.36</v>
      </c>
      <c r="AN46" s="2">
        <v>0.96</v>
      </c>
      <c r="AO46" s="2">
        <v>42.52</v>
      </c>
      <c r="AP46" s="2">
        <v>3.5</v>
      </c>
      <c r="AQ46" s="61"/>
      <c r="AR46" s="54">
        <f t="shared" si="2"/>
        <v>2814082.8</v>
      </c>
      <c r="AS46" s="54">
        <f t="shared" si="3"/>
        <v>32727782963.999996</v>
      </c>
      <c r="AT46" s="27"/>
      <c r="AW46" s="2" t="s">
        <v>130</v>
      </c>
      <c r="AY46" s="2">
        <v>2</v>
      </c>
      <c r="AZ46" s="2">
        <v>2000</v>
      </c>
      <c r="BA46" s="2">
        <v>5</v>
      </c>
      <c r="BH46" s="2" t="s">
        <v>137</v>
      </c>
    </row>
    <row r="47" spans="1:60" ht="15.75" customHeight="1" x14ac:dyDescent="0.15">
      <c r="A47" s="1" t="s">
        <v>68</v>
      </c>
      <c r="B47" s="50">
        <v>6869500</v>
      </c>
      <c r="C47" s="2">
        <v>-209.82525270758123</v>
      </c>
      <c r="D47" s="33">
        <v>2065.6</v>
      </c>
      <c r="E47" s="26"/>
      <c r="F47" s="59">
        <f t="shared" si="1"/>
        <v>1743.8</v>
      </c>
      <c r="G47" s="59">
        <f t="shared" si="0"/>
        <v>1743.8</v>
      </c>
      <c r="H47" s="57">
        <v>917.6</v>
      </c>
      <c r="I47" s="58">
        <v>366.8</v>
      </c>
      <c r="J47" s="59">
        <v>443.4</v>
      </c>
      <c r="K47" s="59">
        <v>321.8</v>
      </c>
      <c r="L47" s="27"/>
      <c r="M47" s="27"/>
      <c r="N47" s="27"/>
      <c r="O47" s="27"/>
      <c r="P47" s="27"/>
      <c r="Q47" s="27"/>
      <c r="R47" s="10">
        <v>1954</v>
      </c>
      <c r="S47" s="2">
        <v>701</v>
      </c>
      <c r="T47" s="2">
        <v>124</v>
      </c>
      <c r="U47" s="11">
        <v>1129</v>
      </c>
      <c r="V47" s="27"/>
      <c r="W47" s="27"/>
      <c r="X47" s="6">
        <v>26.27</v>
      </c>
      <c r="Y47" s="6">
        <v>14.74</v>
      </c>
      <c r="Z47" s="6">
        <v>20.5</v>
      </c>
      <c r="AA47" s="6">
        <v>403.5</v>
      </c>
      <c r="AB47" s="6">
        <v>18.7</v>
      </c>
      <c r="AC47" s="6">
        <v>10.5</v>
      </c>
      <c r="AD47" s="24"/>
      <c r="AE47" s="24"/>
      <c r="AF47" s="27"/>
      <c r="AG47" s="60"/>
      <c r="AH47" s="2">
        <v>4.0999999999999996</v>
      </c>
      <c r="AI47" s="2">
        <v>5.65</v>
      </c>
      <c r="AJ47" s="2">
        <v>3.15</v>
      </c>
      <c r="AK47" s="2">
        <v>0.36</v>
      </c>
      <c r="AL47" s="2">
        <v>7.78</v>
      </c>
      <c r="AM47" s="2">
        <v>0.36</v>
      </c>
      <c r="AN47" s="2">
        <v>0.96</v>
      </c>
      <c r="AO47" s="2">
        <v>48.2</v>
      </c>
      <c r="AP47" s="2">
        <v>3.5</v>
      </c>
      <c r="AQ47" s="61"/>
      <c r="AR47" s="54">
        <f t="shared" si="2"/>
        <v>2864581.5</v>
      </c>
      <c r="AS47" s="54">
        <f t="shared" si="3"/>
        <v>33315082845</v>
      </c>
      <c r="AT47" s="27"/>
      <c r="AW47" s="2" t="s">
        <v>130</v>
      </c>
      <c r="AY47" s="2">
        <v>2</v>
      </c>
      <c r="AZ47" s="2">
        <v>2000</v>
      </c>
      <c r="BA47" s="2">
        <v>5</v>
      </c>
      <c r="BH47" s="2" t="s">
        <v>138</v>
      </c>
    </row>
    <row r="48" spans="1:60" ht="15.75" customHeight="1" x14ac:dyDescent="0.15">
      <c r="A48" s="1" t="s">
        <v>69</v>
      </c>
      <c r="B48" s="50">
        <v>6990700</v>
      </c>
      <c r="C48" s="2">
        <v>-210.59806324110662</v>
      </c>
      <c r="D48" s="10">
        <v>2083</v>
      </c>
      <c r="E48" s="8">
        <f t="shared" ref="E48:E66" si="4">D48-L48</f>
        <v>2063</v>
      </c>
      <c r="F48" s="8">
        <f>D48-K48</f>
        <v>1748</v>
      </c>
      <c r="G48" s="8">
        <f t="shared" ref="G48:G66" si="5">D48-L48-K48</f>
        <v>1728</v>
      </c>
      <c r="H48" s="9">
        <v>883</v>
      </c>
      <c r="I48" s="10">
        <v>401</v>
      </c>
      <c r="J48" s="8">
        <v>444</v>
      </c>
      <c r="K48" s="8">
        <v>335</v>
      </c>
      <c r="L48" s="10">
        <v>20</v>
      </c>
      <c r="M48" s="44">
        <v>0</v>
      </c>
      <c r="N48" s="44">
        <v>0</v>
      </c>
      <c r="O48" s="44">
        <v>0</v>
      </c>
      <c r="P48" s="44">
        <v>0</v>
      </c>
      <c r="Q48" s="44">
        <v>20</v>
      </c>
      <c r="R48" s="10">
        <v>1961</v>
      </c>
      <c r="S48" s="10">
        <v>715</v>
      </c>
      <c r="T48" s="10">
        <v>120</v>
      </c>
      <c r="U48" s="11">
        <v>1126</v>
      </c>
      <c r="V48" s="56"/>
      <c r="W48" s="56"/>
      <c r="X48" s="6">
        <v>26.11</v>
      </c>
      <c r="Y48" s="6">
        <v>14.76</v>
      </c>
      <c r="Z48" s="6">
        <v>20.43</v>
      </c>
      <c r="AA48" s="6">
        <v>439.4</v>
      </c>
      <c r="AB48" s="6">
        <v>22.7</v>
      </c>
      <c r="AC48" s="6">
        <v>12.4</v>
      </c>
      <c r="AD48" s="24"/>
      <c r="AE48" s="24"/>
      <c r="AF48" s="2">
        <f>0.52*M48*1000000+0.52*N48*1000000+0.65*O48*1000000+0.8*P48*1000000+0.7*Q48*1000000</f>
        <v>14000000</v>
      </c>
      <c r="AG48" s="60"/>
      <c r="AH48" s="60"/>
      <c r="AI48" s="60"/>
      <c r="AJ48" s="60"/>
      <c r="AK48" s="60"/>
      <c r="AL48" s="60"/>
      <c r="AM48" s="60"/>
      <c r="AN48" s="60"/>
      <c r="AO48" s="2">
        <v>48.8</v>
      </c>
      <c r="AP48" s="2">
        <v>3.5</v>
      </c>
      <c r="AQ48" s="6">
        <f t="shared" ref="AQ48:AQ66" si="6">L48*AP48*1000000</f>
        <v>70000000</v>
      </c>
      <c r="AR48" s="54">
        <f t="shared" si="2"/>
        <v>2915121.9</v>
      </c>
      <c r="AS48" s="54">
        <f t="shared" si="3"/>
        <v>33902867697</v>
      </c>
      <c r="AT48" s="62">
        <f>AQ48*100/AS48</f>
        <v>0.20647220944732697</v>
      </c>
      <c r="AW48" s="2" t="s">
        <v>130</v>
      </c>
      <c r="AY48" s="2">
        <v>1</v>
      </c>
      <c r="AZ48" s="2">
        <v>2006</v>
      </c>
      <c r="BA48" s="2" t="s">
        <v>132</v>
      </c>
      <c r="BH48" s="2" t="s">
        <v>139</v>
      </c>
    </row>
    <row r="49" spans="1:72" ht="15.75" customHeight="1" x14ac:dyDescent="0.15">
      <c r="A49" s="1" t="s">
        <v>70</v>
      </c>
      <c r="B49" s="50">
        <v>7116700</v>
      </c>
      <c r="C49" s="2">
        <v>-211.38432170542634</v>
      </c>
      <c r="D49" s="10">
        <v>2096</v>
      </c>
      <c r="E49" s="8">
        <f t="shared" si="4"/>
        <v>1996</v>
      </c>
      <c r="F49" s="8">
        <f t="shared" ref="F49:F66" si="7">D49-K49</f>
        <v>1737</v>
      </c>
      <c r="G49" s="8">
        <f t="shared" si="5"/>
        <v>1637</v>
      </c>
      <c r="H49" s="9">
        <v>986</v>
      </c>
      <c r="I49" s="10">
        <v>242</v>
      </c>
      <c r="J49" s="8">
        <v>409</v>
      </c>
      <c r="K49" s="8">
        <v>359</v>
      </c>
      <c r="L49" s="10">
        <v>100</v>
      </c>
      <c r="M49" s="44">
        <v>0</v>
      </c>
      <c r="N49" s="44">
        <v>0</v>
      </c>
      <c r="O49" s="44">
        <v>0</v>
      </c>
      <c r="P49" s="44">
        <v>0</v>
      </c>
      <c r="Q49" s="44">
        <v>100</v>
      </c>
      <c r="R49" s="10">
        <v>1959</v>
      </c>
      <c r="S49" s="10">
        <v>737</v>
      </c>
      <c r="T49" s="10">
        <v>114</v>
      </c>
      <c r="U49" s="11">
        <v>1108</v>
      </c>
      <c r="V49" s="56"/>
      <c r="W49" s="56"/>
      <c r="X49" s="6">
        <v>25.94</v>
      </c>
      <c r="Y49" s="6">
        <v>14.61</v>
      </c>
      <c r="Z49" s="6">
        <v>20.27</v>
      </c>
      <c r="AA49" s="6">
        <v>410.9</v>
      </c>
      <c r="AB49" s="6">
        <v>27.8</v>
      </c>
      <c r="AC49" s="6">
        <v>10</v>
      </c>
      <c r="AD49" s="24"/>
      <c r="AE49" s="24"/>
      <c r="AF49" s="2">
        <f t="shared" ref="AF49:AF66" si="8">0.52*M49*1000000+0.52*N49*1000000+0.65*O49*1000000+0.8*P49*1000000+0.7*Q49*1000000</f>
        <v>70000000</v>
      </c>
      <c r="AG49" s="60"/>
      <c r="AH49" s="60"/>
      <c r="AI49" s="60"/>
      <c r="AJ49" s="60"/>
      <c r="AK49" s="60"/>
      <c r="AL49" s="60"/>
      <c r="AM49" s="60"/>
      <c r="AN49" s="60"/>
      <c r="AO49" s="2">
        <v>47.97</v>
      </c>
      <c r="AP49" s="2">
        <v>3.5</v>
      </c>
      <c r="AQ49" s="6">
        <f t="shared" si="6"/>
        <v>350000000</v>
      </c>
      <c r="AR49" s="54">
        <f>0.417*B49</f>
        <v>2967663.9</v>
      </c>
      <c r="AS49" s="54">
        <f>AR49*11630</f>
        <v>34513931157</v>
      </c>
      <c r="AT49" s="62">
        <f t="shared" ref="AT49:AT66" si="9">AQ49*100/AS49</f>
        <v>1.0140832651252889</v>
      </c>
      <c r="AW49" s="2" t="s">
        <v>129</v>
      </c>
      <c r="AY49" s="2">
        <v>3</v>
      </c>
      <c r="BH49" s="2" t="s">
        <v>140</v>
      </c>
    </row>
    <row r="50" spans="1:72" ht="15.75" customHeight="1" x14ac:dyDescent="0.15">
      <c r="A50" s="1" t="s">
        <v>71</v>
      </c>
      <c r="B50" s="50">
        <v>7243600</v>
      </c>
      <c r="C50" s="2">
        <v>-211.85499607843136</v>
      </c>
      <c r="D50" s="10">
        <v>2199</v>
      </c>
      <c r="E50" s="8">
        <f t="shared" si="4"/>
        <v>2076</v>
      </c>
      <c r="F50" s="8">
        <f t="shared" si="7"/>
        <v>1812</v>
      </c>
      <c r="G50" s="8">
        <f t="shared" si="5"/>
        <v>1689</v>
      </c>
      <c r="H50" s="9">
        <v>1064</v>
      </c>
      <c r="I50" s="10">
        <v>224</v>
      </c>
      <c r="J50" s="8">
        <v>401</v>
      </c>
      <c r="K50" s="8">
        <v>387</v>
      </c>
      <c r="L50" s="10">
        <v>123</v>
      </c>
      <c r="M50" s="44">
        <v>0</v>
      </c>
      <c r="N50" s="44">
        <v>0</v>
      </c>
      <c r="O50" s="44">
        <v>20</v>
      </c>
      <c r="P50" s="44">
        <v>15</v>
      </c>
      <c r="Q50" s="44">
        <v>105</v>
      </c>
      <c r="R50" s="10">
        <v>2072</v>
      </c>
      <c r="S50" s="10">
        <v>767</v>
      </c>
      <c r="T50" s="10">
        <v>119</v>
      </c>
      <c r="U50" s="11">
        <v>1186</v>
      </c>
      <c r="V50" s="56"/>
      <c r="W50" s="56"/>
      <c r="X50" s="6">
        <v>26.3</v>
      </c>
      <c r="Y50" s="6">
        <v>15.09</v>
      </c>
      <c r="Z50" s="6">
        <v>20.7</v>
      </c>
      <c r="AA50" s="6">
        <v>428.1</v>
      </c>
      <c r="AB50" s="6">
        <v>34.1</v>
      </c>
      <c r="AC50" s="6">
        <v>10.5</v>
      </c>
      <c r="AD50" s="24"/>
      <c r="AE50" s="24"/>
      <c r="AF50" s="2">
        <f t="shared" si="8"/>
        <v>98500000</v>
      </c>
      <c r="AG50" s="60"/>
      <c r="AH50" s="60"/>
      <c r="AI50" s="60"/>
      <c r="AJ50" s="60"/>
      <c r="AK50" s="60"/>
      <c r="AL50" s="60"/>
      <c r="AM50" s="60"/>
      <c r="AN50" s="60"/>
      <c r="AO50" s="2">
        <v>51.86</v>
      </c>
      <c r="AP50" s="2">
        <v>3.5</v>
      </c>
      <c r="AQ50" s="6">
        <f t="shared" si="6"/>
        <v>430500000</v>
      </c>
      <c r="AR50" s="54">
        <f t="shared" si="2"/>
        <v>3020581.1999999997</v>
      </c>
      <c r="AS50" s="54">
        <f t="shared" si="3"/>
        <v>35129359356</v>
      </c>
      <c r="AT50" s="62">
        <f t="shared" si="9"/>
        <v>1.2254706829046449</v>
      </c>
      <c r="AW50" s="2" t="s">
        <v>130</v>
      </c>
      <c r="AY50" s="2">
        <v>1</v>
      </c>
      <c r="AZ50" s="2">
        <v>2008</v>
      </c>
      <c r="BA50" s="2" t="s">
        <v>131</v>
      </c>
      <c r="BH50" s="2" t="s">
        <v>141</v>
      </c>
    </row>
    <row r="51" spans="1:72" ht="15.75" customHeight="1" x14ac:dyDescent="0.15">
      <c r="A51" s="1" t="s">
        <v>72</v>
      </c>
      <c r="B51" s="50">
        <v>7412200</v>
      </c>
      <c r="C51" s="2">
        <v>-213.07100806451621</v>
      </c>
      <c r="D51" s="2">
        <v>2150</v>
      </c>
      <c r="E51" s="8">
        <f t="shared" si="4"/>
        <v>2008</v>
      </c>
      <c r="F51" s="8">
        <f t="shared" si="7"/>
        <v>1753.3333</v>
      </c>
      <c r="G51" s="8">
        <f t="shared" si="5"/>
        <v>1611.3333</v>
      </c>
      <c r="H51" s="57">
        <v>988</v>
      </c>
      <c r="I51" s="58">
        <v>205</v>
      </c>
      <c r="J51" s="59">
        <v>379.66669999999999</v>
      </c>
      <c r="K51" s="59">
        <v>396.66669999999999</v>
      </c>
      <c r="L51" s="2">
        <v>142</v>
      </c>
      <c r="M51" s="44">
        <v>0</v>
      </c>
      <c r="N51" s="44">
        <v>0</v>
      </c>
      <c r="O51" s="45">
        <v>120</v>
      </c>
      <c r="P51" s="45">
        <v>30</v>
      </c>
      <c r="Q51" s="45">
        <v>112</v>
      </c>
      <c r="R51" s="7">
        <v>2001</v>
      </c>
      <c r="S51" s="2">
        <v>761</v>
      </c>
      <c r="T51" s="2">
        <v>119</v>
      </c>
      <c r="U51" s="3">
        <v>1121</v>
      </c>
      <c r="V51" s="27"/>
      <c r="W51" s="26"/>
      <c r="X51" s="6">
        <v>26.73</v>
      </c>
      <c r="Y51" s="6">
        <v>15.11</v>
      </c>
      <c r="Z51" s="6">
        <v>20.92</v>
      </c>
      <c r="AA51" s="6">
        <v>305.60000000000002</v>
      </c>
      <c r="AB51" s="6">
        <v>23.1</v>
      </c>
      <c r="AC51" s="6">
        <v>10.3</v>
      </c>
      <c r="AD51" s="24"/>
      <c r="AE51" s="24"/>
      <c r="AF51" s="2">
        <f t="shared" si="8"/>
        <v>180400000</v>
      </c>
      <c r="AG51" s="60"/>
      <c r="AH51" s="60"/>
      <c r="AI51" s="60"/>
      <c r="AJ51" s="60"/>
      <c r="AK51" s="60"/>
      <c r="AL51" s="60"/>
      <c r="AM51" s="60"/>
      <c r="AN51" s="60"/>
      <c r="AO51" s="2">
        <v>56.29</v>
      </c>
      <c r="AP51" s="2">
        <v>3.5</v>
      </c>
      <c r="AQ51" s="6">
        <f t="shared" si="6"/>
        <v>497000000</v>
      </c>
      <c r="AR51" s="54">
        <f t="shared" si="2"/>
        <v>3090887.4</v>
      </c>
      <c r="AS51" s="54">
        <f t="shared" si="3"/>
        <v>35947020462</v>
      </c>
      <c r="AT51" s="62">
        <f t="shared" si="9"/>
        <v>1.3825902497965981</v>
      </c>
      <c r="AW51" s="2" t="s">
        <v>130</v>
      </c>
      <c r="AY51" s="2">
        <v>2</v>
      </c>
      <c r="AZ51" s="2">
        <v>2008</v>
      </c>
      <c r="BA51" s="2" t="s">
        <v>131</v>
      </c>
      <c r="BH51" s="2" t="s">
        <v>142</v>
      </c>
    </row>
    <row r="52" spans="1:72" ht="15.75" customHeight="1" x14ac:dyDescent="0.15">
      <c r="A52" s="1" t="s">
        <v>73</v>
      </c>
      <c r="B52" s="50">
        <v>7552000</v>
      </c>
      <c r="C52" s="2">
        <v>-213.92538602941187</v>
      </c>
      <c r="D52" s="2">
        <v>2150</v>
      </c>
      <c r="E52" s="8">
        <f t="shared" si="4"/>
        <v>1980</v>
      </c>
      <c r="F52" s="8">
        <f t="shared" si="7"/>
        <v>1743.6667</v>
      </c>
      <c r="G52" s="8">
        <f t="shared" si="5"/>
        <v>1573.6667</v>
      </c>
      <c r="H52" s="57">
        <v>912</v>
      </c>
      <c r="I52" s="58">
        <v>186</v>
      </c>
      <c r="J52" s="59">
        <v>358.33330000000001</v>
      </c>
      <c r="K52" s="59">
        <v>406.33330000000001</v>
      </c>
      <c r="L52" s="2">
        <v>170</v>
      </c>
      <c r="M52" s="44">
        <v>0</v>
      </c>
      <c r="N52" s="44">
        <v>0</v>
      </c>
      <c r="O52" s="45">
        <v>127</v>
      </c>
      <c r="P52" s="45">
        <v>37</v>
      </c>
      <c r="Q52" s="45">
        <v>113</v>
      </c>
      <c r="R52" s="7">
        <v>1811</v>
      </c>
      <c r="S52" s="2">
        <v>676</v>
      </c>
      <c r="T52" s="2">
        <v>119</v>
      </c>
      <c r="U52" s="3">
        <v>1016</v>
      </c>
      <c r="V52" s="27"/>
      <c r="W52" s="26"/>
      <c r="X52" s="6">
        <v>26.61</v>
      </c>
      <c r="Y52" s="6">
        <v>15.32</v>
      </c>
      <c r="Z52" s="6">
        <v>20.97</v>
      </c>
      <c r="AA52" s="6">
        <v>363.8</v>
      </c>
      <c r="AB52" s="6">
        <v>34.1</v>
      </c>
      <c r="AC52" s="6">
        <v>9.6</v>
      </c>
      <c r="AD52" s="24"/>
      <c r="AE52" s="24"/>
      <c r="AF52" s="2">
        <f t="shared" si="8"/>
        <v>191250000</v>
      </c>
      <c r="AG52" s="60"/>
      <c r="AH52" s="60"/>
      <c r="AI52" s="60"/>
      <c r="AJ52" s="60"/>
      <c r="AK52" s="60"/>
      <c r="AL52" s="60"/>
      <c r="AM52" s="60"/>
      <c r="AN52" s="60"/>
      <c r="AO52" s="2">
        <v>52.08</v>
      </c>
      <c r="AP52" s="2">
        <v>3.5</v>
      </c>
      <c r="AQ52" s="6">
        <f t="shared" si="6"/>
        <v>595000000</v>
      </c>
      <c r="AR52" s="54">
        <f t="shared" si="2"/>
        <v>3149184</v>
      </c>
      <c r="AS52" s="54">
        <f t="shared" si="3"/>
        <v>36625009920</v>
      </c>
      <c r="AT52" s="62">
        <f t="shared" si="9"/>
        <v>1.6245729388187427</v>
      </c>
      <c r="AW52" s="2" t="s">
        <v>129</v>
      </c>
      <c r="AY52" s="2">
        <v>2</v>
      </c>
      <c r="BH52" s="2" t="s">
        <v>143</v>
      </c>
    </row>
    <row r="53" spans="1:72" ht="15.75" customHeight="1" x14ac:dyDescent="0.15">
      <c r="A53" s="1" t="s">
        <v>74</v>
      </c>
      <c r="B53" s="50">
        <v>7695100</v>
      </c>
      <c r="C53" s="2">
        <v>-213.35097530864189</v>
      </c>
      <c r="D53" s="8">
        <v>2020</v>
      </c>
      <c r="E53" s="8">
        <f>D53-L53</f>
        <v>1756</v>
      </c>
      <c r="F53" s="8">
        <f t="shared" si="7"/>
        <v>1604</v>
      </c>
      <c r="G53" s="8">
        <f t="shared" si="5"/>
        <v>1340</v>
      </c>
      <c r="H53" s="9">
        <v>836</v>
      </c>
      <c r="I53" s="8">
        <v>167</v>
      </c>
      <c r="J53" s="8">
        <v>337</v>
      </c>
      <c r="K53" s="8">
        <v>416</v>
      </c>
      <c r="L53" s="8">
        <v>264</v>
      </c>
      <c r="M53" s="44">
        <v>0</v>
      </c>
      <c r="N53" s="44">
        <v>0</v>
      </c>
      <c r="O53" s="46">
        <v>143</v>
      </c>
      <c r="P53" s="46">
        <v>45</v>
      </c>
      <c r="Q53" s="46">
        <v>120</v>
      </c>
      <c r="R53" s="8">
        <v>1919</v>
      </c>
      <c r="S53" s="8">
        <v>689</v>
      </c>
      <c r="T53" s="8">
        <v>130</v>
      </c>
      <c r="U53" s="3">
        <v>1100</v>
      </c>
      <c r="V53" s="26"/>
      <c r="W53" s="26"/>
      <c r="X53" s="6">
        <v>28.3</v>
      </c>
      <c r="Y53" s="6">
        <v>16.54</v>
      </c>
      <c r="Z53" s="6">
        <v>22.42</v>
      </c>
      <c r="AA53" s="6">
        <v>428.5</v>
      </c>
      <c r="AB53" s="6">
        <v>57.1</v>
      </c>
      <c r="AC53" s="6">
        <v>12.3</v>
      </c>
      <c r="AD53" s="24"/>
      <c r="AE53" s="24"/>
      <c r="AF53" s="2">
        <f t="shared" si="8"/>
        <v>212950000</v>
      </c>
      <c r="AG53" s="60"/>
      <c r="AH53" s="60"/>
      <c r="AI53" s="60"/>
      <c r="AJ53" s="60"/>
      <c r="AK53" s="60"/>
      <c r="AL53" s="60"/>
      <c r="AM53" s="60"/>
      <c r="AN53" s="60"/>
      <c r="AO53" s="2">
        <v>43.59</v>
      </c>
      <c r="AP53" s="2">
        <v>3.5</v>
      </c>
      <c r="AQ53" s="6">
        <f t="shared" si="6"/>
        <v>924000000</v>
      </c>
      <c r="AR53" s="54">
        <f t="shared" si="2"/>
        <v>3208856.6999999997</v>
      </c>
      <c r="AS53" s="54">
        <f t="shared" si="3"/>
        <v>37319003421</v>
      </c>
      <c r="AT53" s="62">
        <f>AQ53*100/AS53</f>
        <v>2.4759503612040468</v>
      </c>
      <c r="AW53" s="2" t="s">
        <v>129</v>
      </c>
      <c r="AY53" s="2">
        <v>1</v>
      </c>
      <c r="BH53" s="2" t="s">
        <v>144</v>
      </c>
    </row>
    <row r="54" spans="1:72" ht="15.75" customHeight="1" x14ac:dyDescent="0.15">
      <c r="A54" s="1" t="s">
        <v>75</v>
      </c>
      <c r="B54" s="50">
        <v>7836600</v>
      </c>
      <c r="C54" s="2">
        <v>-213.14755617977511</v>
      </c>
      <c r="D54" s="32">
        <v>2038.5</v>
      </c>
      <c r="E54" s="8">
        <f t="shared" si="4"/>
        <v>1761.5</v>
      </c>
      <c r="F54" s="8">
        <f t="shared" si="7"/>
        <v>1617.5</v>
      </c>
      <c r="G54" s="8">
        <f t="shared" si="5"/>
        <v>1340.5</v>
      </c>
      <c r="H54" s="9">
        <v>738</v>
      </c>
      <c r="I54" s="8" t="s">
        <v>76</v>
      </c>
      <c r="J54" s="8">
        <v>325</v>
      </c>
      <c r="K54" s="8">
        <v>421</v>
      </c>
      <c r="L54" s="8" t="s">
        <v>77</v>
      </c>
      <c r="M54" s="44">
        <v>0</v>
      </c>
      <c r="N54" s="44">
        <v>0</v>
      </c>
      <c r="O54" s="46">
        <v>126</v>
      </c>
      <c r="P54" s="46">
        <v>46</v>
      </c>
      <c r="Q54" s="46">
        <v>120</v>
      </c>
      <c r="R54" s="8">
        <v>1831</v>
      </c>
      <c r="S54" s="8">
        <v>665</v>
      </c>
      <c r="T54" s="8" t="s">
        <v>78</v>
      </c>
      <c r="U54" s="3">
        <v>1042</v>
      </c>
      <c r="V54" s="26"/>
      <c r="W54" s="26"/>
      <c r="X54" s="6">
        <v>25.95</v>
      </c>
      <c r="Y54" s="6">
        <v>14.91</v>
      </c>
      <c r="Z54" s="6">
        <v>20.43</v>
      </c>
      <c r="AA54" s="6">
        <v>373.4</v>
      </c>
      <c r="AB54" s="6">
        <v>46.1</v>
      </c>
      <c r="AC54" s="6">
        <v>9.1999999999999993</v>
      </c>
      <c r="AD54" s="24"/>
      <c r="AE54" s="24"/>
      <c r="AF54" s="2">
        <f t="shared" si="8"/>
        <v>202700000</v>
      </c>
      <c r="AG54" s="60"/>
      <c r="AH54" s="60"/>
      <c r="AI54" s="60"/>
      <c r="AJ54" s="60"/>
      <c r="AK54" s="60"/>
      <c r="AL54" s="60"/>
      <c r="AM54" s="60"/>
      <c r="AN54" s="60"/>
      <c r="AO54" s="2">
        <v>49.63</v>
      </c>
      <c r="AP54" s="2">
        <v>3.5</v>
      </c>
      <c r="AQ54" s="6">
        <f t="shared" si="6"/>
        <v>969500000</v>
      </c>
      <c r="AR54" s="54">
        <f t="shared" si="2"/>
        <v>3267862.1999999997</v>
      </c>
      <c r="AS54" s="54">
        <f t="shared" si="3"/>
        <v>38005237386</v>
      </c>
      <c r="AT54" s="62">
        <f t="shared" si="9"/>
        <v>2.5509642004160589</v>
      </c>
      <c r="AW54" s="2" t="s">
        <v>130</v>
      </c>
      <c r="AY54" s="2">
        <v>1</v>
      </c>
      <c r="AZ54" s="2">
        <v>2012</v>
      </c>
      <c r="BA54" s="2" t="s">
        <v>133</v>
      </c>
      <c r="BH54" s="2" t="s">
        <v>145</v>
      </c>
    </row>
    <row r="55" spans="1:72" ht="15.75" customHeight="1" x14ac:dyDescent="0.15">
      <c r="A55" s="1" t="s">
        <v>79</v>
      </c>
      <c r="B55" s="50">
        <v>7984500</v>
      </c>
      <c r="C55" s="2">
        <v>-212.08219613259647</v>
      </c>
      <c r="D55" s="8">
        <v>2057</v>
      </c>
      <c r="E55" s="8">
        <f t="shared" si="4"/>
        <v>1744</v>
      </c>
      <c r="F55" s="8">
        <f t="shared" si="7"/>
        <v>1631</v>
      </c>
      <c r="G55" s="8">
        <f t="shared" si="5"/>
        <v>1318</v>
      </c>
      <c r="H55" s="9">
        <v>802</v>
      </c>
      <c r="I55" s="14">
        <v>193</v>
      </c>
      <c r="J55" s="8">
        <v>323</v>
      </c>
      <c r="K55" s="8">
        <v>426</v>
      </c>
      <c r="L55" s="8">
        <v>313</v>
      </c>
      <c r="M55" s="44">
        <v>0</v>
      </c>
      <c r="N55" s="46">
        <v>40</v>
      </c>
      <c r="O55" s="46">
        <v>85</v>
      </c>
      <c r="P55" s="46">
        <v>48</v>
      </c>
      <c r="Q55" s="46">
        <v>121</v>
      </c>
      <c r="R55" s="8">
        <v>1902</v>
      </c>
      <c r="S55" s="8">
        <v>694</v>
      </c>
      <c r="T55" s="8">
        <v>123</v>
      </c>
      <c r="U55" s="3">
        <v>1085</v>
      </c>
      <c r="V55" s="26"/>
      <c r="W55" s="14">
        <v>1</v>
      </c>
      <c r="X55" s="6">
        <v>26.8</v>
      </c>
      <c r="Y55" s="6">
        <v>15.6</v>
      </c>
      <c r="Z55" s="6">
        <v>21.2</v>
      </c>
      <c r="AA55" s="6">
        <v>476.6</v>
      </c>
      <c r="AB55" s="6">
        <v>19</v>
      </c>
      <c r="AC55" s="6">
        <v>10.7</v>
      </c>
      <c r="AD55" s="24"/>
      <c r="AE55" s="24"/>
      <c r="AF55" s="2">
        <f t="shared" si="8"/>
        <v>199150000</v>
      </c>
      <c r="AG55" s="60"/>
      <c r="AH55" s="60"/>
      <c r="AI55" s="60"/>
      <c r="AJ55" s="60"/>
      <c r="AK55" s="60"/>
      <c r="AL55" s="60"/>
      <c r="AM55" s="60"/>
      <c r="AN55" s="60"/>
      <c r="AO55" s="2">
        <v>53.91</v>
      </c>
      <c r="AP55" s="2">
        <v>3.5</v>
      </c>
      <c r="AQ55" s="6">
        <f t="shared" si="6"/>
        <v>1095500000</v>
      </c>
      <c r="AR55" s="54">
        <f t="shared" si="2"/>
        <v>3329536.5</v>
      </c>
      <c r="AS55" s="54">
        <f t="shared" si="3"/>
        <v>38722509495</v>
      </c>
      <c r="AT55" s="62">
        <f t="shared" si="9"/>
        <v>2.8291038320784843</v>
      </c>
      <c r="AU55" s="20">
        <v>3.0000000000000001E-3</v>
      </c>
      <c r="AW55" s="2" t="s">
        <v>129</v>
      </c>
      <c r="AY55" s="2">
        <v>2</v>
      </c>
      <c r="BH55" s="2" t="s">
        <v>128</v>
      </c>
      <c r="BI55" s="22">
        <f>457/2256</f>
        <v>0.20257092198581561</v>
      </c>
    </row>
    <row r="56" spans="1:72" ht="15.75" customHeight="1" x14ac:dyDescent="0.15">
      <c r="A56" s="1" t="s">
        <v>80</v>
      </c>
      <c r="B56" s="50">
        <v>8134500</v>
      </c>
      <c r="C56" s="2">
        <v>-210.62489041095864</v>
      </c>
      <c r="D56" s="8">
        <v>2106</v>
      </c>
      <c r="E56" s="8">
        <f t="shared" si="4"/>
        <v>1759</v>
      </c>
      <c r="F56" s="8">
        <f t="shared" si="7"/>
        <v>1643</v>
      </c>
      <c r="G56" s="8">
        <f t="shared" si="5"/>
        <v>1296</v>
      </c>
      <c r="H56" s="9">
        <v>651</v>
      </c>
      <c r="I56" s="14">
        <v>239</v>
      </c>
      <c r="J56" s="8">
        <v>406</v>
      </c>
      <c r="K56" s="8">
        <v>463</v>
      </c>
      <c r="L56" s="8">
        <v>347</v>
      </c>
      <c r="M56" s="44">
        <v>0</v>
      </c>
      <c r="N56" s="46">
        <v>120</v>
      </c>
      <c r="O56" s="46">
        <v>127</v>
      </c>
      <c r="P56" s="46">
        <v>69</v>
      </c>
      <c r="Q56" s="46">
        <v>117</v>
      </c>
      <c r="R56" s="8">
        <v>2076.1</v>
      </c>
      <c r="S56" s="8">
        <v>733.7</v>
      </c>
      <c r="T56" s="8">
        <v>138.30000000000001</v>
      </c>
      <c r="U56" s="3">
        <v>1204</v>
      </c>
      <c r="V56" s="26"/>
      <c r="W56" s="14">
        <v>1</v>
      </c>
      <c r="X56" s="6">
        <v>26.97</v>
      </c>
      <c r="Y56" s="6">
        <v>15.48</v>
      </c>
      <c r="Z56" s="6">
        <v>21.23</v>
      </c>
      <c r="AA56" s="6">
        <v>494.1</v>
      </c>
      <c r="AB56" s="6">
        <v>97.8</v>
      </c>
      <c r="AC56" s="6">
        <v>13.1</v>
      </c>
      <c r="AD56" s="24"/>
      <c r="AE56" s="24"/>
      <c r="AF56" s="2">
        <f t="shared" si="8"/>
        <v>282050000</v>
      </c>
      <c r="AG56" s="60"/>
      <c r="AH56" s="60"/>
      <c r="AI56" s="60"/>
      <c r="AJ56" s="60"/>
      <c r="AK56" s="60"/>
      <c r="AL56" s="60"/>
      <c r="AM56" s="60"/>
      <c r="AN56" s="60"/>
      <c r="AO56" s="2">
        <v>55.61</v>
      </c>
      <c r="AP56" s="2">
        <v>3.5</v>
      </c>
      <c r="AQ56" s="6">
        <f t="shared" si="6"/>
        <v>1214500000</v>
      </c>
      <c r="AR56" s="54">
        <f t="shared" ref="AR56:AR61" si="10">0.417*B56</f>
        <v>3392086.5</v>
      </c>
      <c r="AS56" s="54">
        <f t="shared" si="3"/>
        <v>39449965995</v>
      </c>
      <c r="AT56" s="62">
        <f t="shared" si="9"/>
        <v>3.0785831352907356</v>
      </c>
      <c r="AU56" s="20">
        <v>7.0000000000000001E-3</v>
      </c>
      <c r="AW56" s="2" t="s">
        <v>130</v>
      </c>
      <c r="AY56" s="2">
        <v>1</v>
      </c>
      <c r="AZ56" s="2">
        <v>2014</v>
      </c>
      <c r="BA56" s="2" t="s">
        <v>134</v>
      </c>
      <c r="BH56" s="2" t="s">
        <v>127</v>
      </c>
      <c r="BI56" s="22">
        <f>437/2557</f>
        <v>0.17090340242471647</v>
      </c>
    </row>
    <row r="57" spans="1:72" ht="15.75" customHeight="1" x14ac:dyDescent="0.15">
      <c r="A57" s="1" t="s">
        <v>81</v>
      </c>
      <c r="B57" s="50">
        <v>8296600</v>
      </c>
      <c r="C57" s="2">
        <v>-211.84858904109626</v>
      </c>
      <c r="D57" s="8">
        <v>2085</v>
      </c>
      <c r="E57" s="8">
        <f t="shared" si="4"/>
        <v>1724</v>
      </c>
      <c r="F57" s="8">
        <f t="shared" si="7"/>
        <v>1632</v>
      </c>
      <c r="G57" s="8">
        <f t="shared" si="5"/>
        <v>1271</v>
      </c>
      <c r="H57" s="9">
        <v>801</v>
      </c>
      <c r="I57" s="14">
        <v>125</v>
      </c>
      <c r="J57" s="8">
        <v>345</v>
      </c>
      <c r="K57" s="8">
        <v>453</v>
      </c>
      <c r="L57" s="8">
        <v>361</v>
      </c>
      <c r="M57" s="44">
        <v>0</v>
      </c>
      <c r="N57" s="46">
        <v>150</v>
      </c>
      <c r="O57" s="46">
        <v>127</v>
      </c>
      <c r="P57" s="46">
        <v>65</v>
      </c>
      <c r="Q57" s="46">
        <v>80</v>
      </c>
      <c r="R57" s="8">
        <f>SUM(S57:V57)</f>
        <v>2023</v>
      </c>
      <c r="S57" s="8">
        <v>754</v>
      </c>
      <c r="T57" s="8">
        <v>117</v>
      </c>
      <c r="U57" s="3">
        <v>1122</v>
      </c>
      <c r="V57" s="8">
        <v>30</v>
      </c>
      <c r="W57" s="14">
        <v>1</v>
      </c>
      <c r="X57" s="6">
        <v>27.26</v>
      </c>
      <c r="Y57" s="6">
        <v>15.48</v>
      </c>
      <c r="Z57" s="6">
        <v>21.37</v>
      </c>
      <c r="AA57" s="6">
        <v>353.5</v>
      </c>
      <c r="AB57" s="6">
        <v>82.1</v>
      </c>
      <c r="AC57" s="6">
        <v>15.5</v>
      </c>
      <c r="AD57" s="24"/>
      <c r="AE57" s="24"/>
      <c r="AF57" s="2">
        <f t="shared" si="8"/>
        <v>268550000</v>
      </c>
      <c r="AG57" s="60"/>
      <c r="AH57" s="60"/>
      <c r="AI57" s="60"/>
      <c r="AJ57" s="60"/>
      <c r="AK57" s="60"/>
      <c r="AL57" s="60"/>
      <c r="AM57" s="60"/>
      <c r="AN57" s="60"/>
      <c r="AO57" s="2" t="s">
        <v>119</v>
      </c>
      <c r="AP57" s="2">
        <v>3.5</v>
      </c>
      <c r="AQ57" s="6">
        <f t="shared" si="6"/>
        <v>1263500000</v>
      </c>
      <c r="AR57" s="54">
        <f t="shared" si="10"/>
        <v>3459682.1999999997</v>
      </c>
      <c r="AS57" s="54">
        <f t="shared" si="3"/>
        <v>40236103986</v>
      </c>
      <c r="AT57" s="62">
        <f t="shared" si="9"/>
        <v>3.1402145705748001</v>
      </c>
      <c r="AU57" s="20">
        <v>1.4999999999999999E-2</v>
      </c>
      <c r="AW57" s="2" t="s">
        <v>129</v>
      </c>
      <c r="AY57" s="2">
        <v>2</v>
      </c>
    </row>
    <row r="58" spans="1:72" ht="15.75" customHeight="1" x14ac:dyDescent="0.15">
      <c r="A58" s="1" t="s">
        <v>82</v>
      </c>
      <c r="B58" s="50">
        <v>8463400</v>
      </c>
      <c r="C58" s="2">
        <v>-212.41819178082167</v>
      </c>
      <c r="D58" s="8">
        <v>2152</v>
      </c>
      <c r="E58" s="8">
        <f t="shared" si="4"/>
        <v>1649</v>
      </c>
      <c r="F58" s="8">
        <f t="shared" si="7"/>
        <v>1676</v>
      </c>
      <c r="G58" s="8">
        <f t="shared" si="5"/>
        <v>1173</v>
      </c>
      <c r="H58" s="9">
        <v>792</v>
      </c>
      <c r="I58" s="14">
        <v>50</v>
      </c>
      <c r="J58" s="8">
        <v>331.29425200000003</v>
      </c>
      <c r="K58" s="8">
        <v>476</v>
      </c>
      <c r="L58" s="8">
        <v>503</v>
      </c>
      <c r="M58" s="44">
        <v>19</v>
      </c>
      <c r="N58" s="46">
        <v>150</v>
      </c>
      <c r="O58" s="46">
        <v>135</v>
      </c>
      <c r="P58" s="46">
        <v>90</v>
      </c>
      <c r="Q58" s="46">
        <v>117</v>
      </c>
      <c r="R58" s="8">
        <f t="shared" ref="R58:R66" si="11">SUM(S58:V58)</f>
        <v>2164</v>
      </c>
      <c r="S58" s="8">
        <v>893</v>
      </c>
      <c r="T58" s="8">
        <v>117</v>
      </c>
      <c r="U58" s="4">
        <v>1118</v>
      </c>
      <c r="V58" s="8">
        <v>36</v>
      </c>
      <c r="W58" s="14">
        <v>1.1499999999999999</v>
      </c>
      <c r="X58" s="6">
        <v>26.94</v>
      </c>
      <c r="Y58" s="6">
        <v>15.61</v>
      </c>
      <c r="Z58" s="6">
        <v>21.28</v>
      </c>
      <c r="AA58" s="6">
        <v>538.5</v>
      </c>
      <c r="AB58" s="6">
        <v>44.6</v>
      </c>
      <c r="AC58" s="6">
        <v>12.4</v>
      </c>
      <c r="AD58" s="24"/>
      <c r="AE58" s="24"/>
      <c r="AF58" s="2">
        <f t="shared" si="8"/>
        <v>329530000</v>
      </c>
      <c r="AG58" s="60"/>
      <c r="AH58" s="60"/>
      <c r="AI58" s="60"/>
      <c r="AJ58" s="60"/>
      <c r="AK58" s="60"/>
      <c r="AL58" s="60"/>
      <c r="AM58" s="60"/>
      <c r="AN58" s="60"/>
      <c r="AO58" s="2">
        <v>46.96</v>
      </c>
      <c r="AP58" s="2">
        <v>3.5</v>
      </c>
      <c r="AQ58" s="6">
        <f t="shared" si="6"/>
        <v>1760500000</v>
      </c>
      <c r="AR58" s="54">
        <f t="shared" si="10"/>
        <v>3529237.8</v>
      </c>
      <c r="AS58" s="54">
        <f t="shared" si="3"/>
        <v>41045035614</v>
      </c>
      <c r="AT58" s="62">
        <f>AQ58*100/AS58</f>
        <v>4.2891910645571798</v>
      </c>
      <c r="AU58" s="20">
        <v>4.4999999999999998E-2</v>
      </c>
      <c r="AW58" s="2" t="s">
        <v>129</v>
      </c>
      <c r="AY58" s="2">
        <v>1</v>
      </c>
    </row>
    <row r="59" spans="1:72" ht="15.75" customHeight="1" x14ac:dyDescent="0.15">
      <c r="A59" s="1" t="s">
        <v>83</v>
      </c>
      <c r="B59" s="50">
        <v>8628600</v>
      </c>
      <c r="C59" s="2">
        <v>-213.02143715846984</v>
      </c>
      <c r="D59" s="8">
        <v>2253</v>
      </c>
      <c r="E59" s="8">
        <f t="shared" si="4"/>
        <v>1710.4966920000002</v>
      </c>
      <c r="F59" s="8">
        <f t="shared" si="7"/>
        <v>1741</v>
      </c>
      <c r="G59" s="8">
        <f t="shared" si="5"/>
        <v>1198.4966920000002</v>
      </c>
      <c r="H59" s="9">
        <v>868</v>
      </c>
      <c r="I59" s="14">
        <v>24.141099999999998</v>
      </c>
      <c r="J59" s="8">
        <v>306.68439899999998</v>
      </c>
      <c r="K59" s="8">
        <v>512</v>
      </c>
      <c r="L59" s="8">
        <v>542.50330799999995</v>
      </c>
      <c r="M59" s="44">
        <v>89</v>
      </c>
      <c r="N59" s="46">
        <v>150</v>
      </c>
      <c r="O59" s="46">
        <v>127</v>
      </c>
      <c r="P59" s="46">
        <v>80</v>
      </c>
      <c r="Q59" s="46">
        <v>104</v>
      </c>
      <c r="R59" s="8">
        <f t="shared" si="11"/>
        <v>2332</v>
      </c>
      <c r="S59" s="8">
        <v>933</v>
      </c>
      <c r="T59" s="8">
        <v>117</v>
      </c>
      <c r="U59" s="4">
        <v>1253</v>
      </c>
      <c r="V59" s="8">
        <v>29</v>
      </c>
      <c r="W59" s="14">
        <v>1.3</v>
      </c>
      <c r="X59" s="6">
        <v>27.58</v>
      </c>
      <c r="Y59" s="6">
        <v>15.77</v>
      </c>
      <c r="Z59" s="6">
        <v>21.68</v>
      </c>
      <c r="AA59" s="6">
        <v>420.4</v>
      </c>
      <c r="AB59" s="6">
        <v>18.8</v>
      </c>
      <c r="AC59" s="6">
        <v>9.5</v>
      </c>
      <c r="AD59" s="24"/>
      <c r="AE59" s="24"/>
      <c r="AF59" s="2">
        <f t="shared" si="8"/>
        <v>343630000</v>
      </c>
      <c r="AG59" s="60"/>
      <c r="AH59" s="60"/>
      <c r="AI59" s="60"/>
      <c r="AJ59" s="60"/>
      <c r="AK59" s="60"/>
      <c r="AL59" s="60"/>
      <c r="AM59" s="60"/>
      <c r="AN59" s="60"/>
      <c r="AO59" s="2" t="s">
        <v>119</v>
      </c>
      <c r="AP59" s="2">
        <v>3.5</v>
      </c>
      <c r="AQ59" s="6">
        <f t="shared" si="6"/>
        <v>1898761577.9999998</v>
      </c>
      <c r="AR59" s="54">
        <f t="shared" si="10"/>
        <v>3598126.1999999997</v>
      </c>
      <c r="AS59" s="54">
        <f t="shared" si="3"/>
        <v>41846207706</v>
      </c>
      <c r="AT59" s="62">
        <f t="shared" si="9"/>
        <v>4.5374758719838573</v>
      </c>
      <c r="AU59" s="20">
        <v>0.05</v>
      </c>
      <c r="AW59" s="2" t="s">
        <v>129</v>
      </c>
      <c r="AY59" s="2">
        <v>1</v>
      </c>
      <c r="BH59" s="2" t="s">
        <v>126</v>
      </c>
      <c r="BI59" s="22">
        <f>420/3978</f>
        <v>0.10558069381598793</v>
      </c>
    </row>
    <row r="60" spans="1:72" ht="15.75" customHeight="1" x14ac:dyDescent="0.15">
      <c r="A60" s="1" t="s">
        <v>84</v>
      </c>
      <c r="B60" s="50">
        <v>8797900</v>
      </c>
      <c r="C60" s="2">
        <v>-213.59405479452056</v>
      </c>
      <c r="D60" s="8">
        <v>2307</v>
      </c>
      <c r="E60" s="8">
        <f t="shared" si="4"/>
        <v>1721</v>
      </c>
      <c r="F60" s="8">
        <f t="shared" si="7"/>
        <v>1787</v>
      </c>
      <c r="G60" s="8">
        <f t="shared" si="5"/>
        <v>1201</v>
      </c>
      <c r="H60" s="9">
        <v>861.5</v>
      </c>
      <c r="I60" s="14">
        <v>34</v>
      </c>
      <c r="J60" s="8">
        <v>305</v>
      </c>
      <c r="K60" s="8">
        <v>520</v>
      </c>
      <c r="L60" s="8">
        <v>586</v>
      </c>
      <c r="M60" s="44">
        <v>84</v>
      </c>
      <c r="N60" s="46">
        <v>158</v>
      </c>
      <c r="O60" s="46">
        <v>135</v>
      </c>
      <c r="P60" s="46">
        <v>91</v>
      </c>
      <c r="Q60" s="46">
        <v>119</v>
      </c>
      <c r="R60" s="8">
        <f t="shared" si="11"/>
        <v>2373</v>
      </c>
      <c r="S60" s="8">
        <v>984</v>
      </c>
      <c r="T60" s="8">
        <v>117</v>
      </c>
      <c r="U60" s="4">
        <v>1249</v>
      </c>
      <c r="V60" s="8">
        <v>23</v>
      </c>
      <c r="W60" s="2">
        <v>1</v>
      </c>
      <c r="X60" s="6">
        <v>27.14</v>
      </c>
      <c r="Y60" s="6">
        <v>15.2</v>
      </c>
      <c r="Z60" s="6">
        <v>21.17</v>
      </c>
      <c r="AA60" s="6">
        <v>319.39999999999998</v>
      </c>
      <c r="AB60" s="6">
        <v>31.9</v>
      </c>
      <c r="AC60" s="6">
        <v>9.8000000000000007</v>
      </c>
      <c r="AD60" s="24"/>
      <c r="AE60" s="24"/>
      <c r="AF60" s="2">
        <f t="shared" si="8"/>
        <v>369690000</v>
      </c>
      <c r="AG60" s="60"/>
      <c r="AH60" s="60"/>
      <c r="AI60" s="60"/>
      <c r="AJ60" s="60"/>
      <c r="AK60" s="60"/>
      <c r="AL60" s="60"/>
      <c r="AM60" s="60"/>
      <c r="AN60" s="60"/>
      <c r="AO60" s="2">
        <v>48.68</v>
      </c>
      <c r="AP60" s="2">
        <v>3.5</v>
      </c>
      <c r="AQ60" s="6">
        <f t="shared" si="6"/>
        <v>2051000000</v>
      </c>
      <c r="AR60" s="54">
        <f t="shared" si="10"/>
        <v>3668724.3</v>
      </c>
      <c r="AS60" s="54">
        <f t="shared" si="3"/>
        <v>42667263609</v>
      </c>
      <c r="AT60" s="62">
        <f t="shared" si="9"/>
        <v>4.8069639965553668</v>
      </c>
      <c r="AU60" s="20">
        <v>5.8000000000000003E-2</v>
      </c>
      <c r="AW60" s="2" t="s">
        <v>129</v>
      </c>
      <c r="AY60" s="2">
        <v>1</v>
      </c>
      <c r="BH60" s="2" t="s">
        <v>125</v>
      </c>
      <c r="BI60" s="22">
        <f>435/2347</f>
        <v>0.18534299105240734</v>
      </c>
    </row>
    <row r="61" spans="1:72" ht="15.75" customHeight="1" x14ac:dyDescent="0.15">
      <c r="A61" s="1" t="s">
        <v>85</v>
      </c>
      <c r="B61" s="50">
        <v>8967600</v>
      </c>
      <c r="C61" s="2">
        <v>-213.98234794520553</v>
      </c>
      <c r="D61" s="8">
        <v>2271</v>
      </c>
      <c r="E61" s="8">
        <f t="shared" si="4"/>
        <v>1626</v>
      </c>
      <c r="F61" s="8">
        <f t="shared" si="7"/>
        <v>1757</v>
      </c>
      <c r="G61" s="8">
        <f t="shared" si="5"/>
        <v>1112</v>
      </c>
      <c r="H61" s="9">
        <v>769</v>
      </c>
      <c r="I61" s="14">
        <v>18</v>
      </c>
      <c r="J61" s="8">
        <v>325</v>
      </c>
      <c r="K61" s="8">
        <v>514</v>
      </c>
      <c r="L61" s="8">
        <v>645</v>
      </c>
      <c r="M61" s="44">
        <v>100</v>
      </c>
      <c r="N61" s="46">
        <v>173</v>
      </c>
      <c r="O61" s="46">
        <v>155</v>
      </c>
      <c r="P61" s="46">
        <v>95</v>
      </c>
      <c r="Q61" s="46">
        <v>122</v>
      </c>
      <c r="R61" s="8">
        <f t="shared" si="11"/>
        <v>2323</v>
      </c>
      <c r="S61" s="8">
        <v>1011</v>
      </c>
      <c r="T61" s="8">
        <v>117</v>
      </c>
      <c r="U61" s="4">
        <v>1173</v>
      </c>
      <c r="V61" s="8">
        <v>22</v>
      </c>
      <c r="W61" s="7">
        <v>10</v>
      </c>
      <c r="X61" s="24"/>
      <c r="Y61" s="30"/>
      <c r="Z61" s="31"/>
      <c r="AA61" s="24"/>
      <c r="AB61" s="24"/>
      <c r="AC61" s="24"/>
      <c r="AD61" s="24"/>
      <c r="AE61" s="24"/>
      <c r="AF61" s="2">
        <f t="shared" si="8"/>
        <v>404110000</v>
      </c>
      <c r="AG61" s="60"/>
      <c r="AH61" s="60"/>
      <c r="AI61" s="60"/>
      <c r="AJ61" s="60"/>
      <c r="AK61" s="60"/>
      <c r="AL61" s="60"/>
      <c r="AM61" s="60"/>
      <c r="AN61" s="60"/>
      <c r="AO61" s="2">
        <v>48.44</v>
      </c>
      <c r="AP61" s="2">
        <v>3.5</v>
      </c>
      <c r="AQ61" s="6">
        <f t="shared" si="6"/>
        <v>2257500000</v>
      </c>
      <c r="AR61" s="54">
        <f t="shared" si="10"/>
        <v>3739489.1999999997</v>
      </c>
      <c r="AS61" s="54">
        <f t="shared" si="3"/>
        <v>43490259396</v>
      </c>
      <c r="AT61" s="62">
        <f t="shared" si="9"/>
        <v>5.1908175102943455</v>
      </c>
      <c r="AU61" s="20">
        <v>7.8E-2</v>
      </c>
      <c r="AW61" s="2" t="s">
        <v>129</v>
      </c>
      <c r="AY61" s="2">
        <v>1</v>
      </c>
      <c r="BH61" s="2" t="s">
        <v>124</v>
      </c>
      <c r="BI61" s="22">
        <f>387/4786</f>
        <v>8.0860844128708739E-2</v>
      </c>
    </row>
    <row r="62" spans="1:72" ht="15.75" customHeight="1" x14ac:dyDescent="0.15">
      <c r="A62" s="1" t="s">
        <v>86</v>
      </c>
      <c r="B62" s="50">
        <v>9140500</v>
      </c>
      <c r="C62" s="2">
        <v>-211.96064917127069</v>
      </c>
      <c r="D62" s="15">
        <v>2318</v>
      </c>
      <c r="E62" s="8">
        <f t="shared" si="4"/>
        <v>1709</v>
      </c>
      <c r="F62" s="8">
        <f t="shared" si="7"/>
        <v>1773</v>
      </c>
      <c r="G62" s="8">
        <f t="shared" si="5"/>
        <v>1164</v>
      </c>
      <c r="H62" s="9">
        <v>780</v>
      </c>
      <c r="I62" s="2">
        <v>42</v>
      </c>
      <c r="J62" s="8">
        <v>342</v>
      </c>
      <c r="K62" s="8">
        <v>545</v>
      </c>
      <c r="L62" s="16">
        <v>609</v>
      </c>
      <c r="M62" s="44">
        <v>98</v>
      </c>
      <c r="N62" s="47">
        <v>174</v>
      </c>
      <c r="O62" s="47">
        <v>159</v>
      </c>
      <c r="P62" s="47">
        <v>98</v>
      </c>
      <c r="Q62" s="47">
        <v>125</v>
      </c>
      <c r="R62" s="8">
        <f t="shared" si="11"/>
        <v>2355</v>
      </c>
      <c r="S62" s="17">
        <v>1023</v>
      </c>
      <c r="T62" s="8">
        <v>117</v>
      </c>
      <c r="U62" s="4">
        <v>1191</v>
      </c>
      <c r="V62" s="16">
        <v>24</v>
      </c>
      <c r="W62" s="7">
        <v>15.7</v>
      </c>
      <c r="X62" s="24"/>
      <c r="Y62" s="30"/>
      <c r="Z62" s="31"/>
      <c r="AA62" s="24"/>
      <c r="AB62" s="24"/>
      <c r="AC62" s="24"/>
      <c r="AD62" s="24"/>
      <c r="AE62" s="24"/>
      <c r="AF62" s="2">
        <f t="shared" si="8"/>
        <v>410690000</v>
      </c>
      <c r="AG62" s="60"/>
      <c r="AH62" s="60"/>
      <c r="AI62" s="60"/>
      <c r="AJ62" s="60"/>
      <c r="AK62" s="60"/>
      <c r="AL62" s="60"/>
      <c r="AM62" s="60"/>
      <c r="AN62" s="60"/>
      <c r="AO62" s="2">
        <v>49.32</v>
      </c>
      <c r="AP62" s="2">
        <v>3.5</v>
      </c>
      <c r="AQ62" s="6">
        <f t="shared" si="6"/>
        <v>2131500000</v>
      </c>
      <c r="AS62" s="6">
        <v>64400000000</v>
      </c>
      <c r="AT62" s="62">
        <f t="shared" si="9"/>
        <v>3.3097826086956523</v>
      </c>
      <c r="AU62" s="21">
        <v>0.115</v>
      </c>
      <c r="AW62" s="2" t="s">
        <v>129</v>
      </c>
      <c r="AY62" s="2">
        <v>1</v>
      </c>
      <c r="BD62" s="25">
        <v>8600</v>
      </c>
      <c r="BF62" s="24">
        <v>3233</v>
      </c>
      <c r="BH62" s="2" t="s">
        <v>123</v>
      </c>
      <c r="BI62" s="22">
        <f>429/4433</f>
        <v>9.6774193548387094E-2</v>
      </c>
      <c r="BR62" s="2">
        <v>172</v>
      </c>
      <c r="BS62" s="2">
        <v>4128</v>
      </c>
      <c r="BT62" s="2">
        <v>602</v>
      </c>
    </row>
    <row r="63" spans="1:72" ht="15.75" customHeight="1" x14ac:dyDescent="0.15">
      <c r="A63" s="1" t="s">
        <v>87</v>
      </c>
      <c r="B63" s="50">
        <v>9289800</v>
      </c>
      <c r="C63" s="2">
        <v>-209.61580332409994</v>
      </c>
      <c r="D63" s="7">
        <v>2400</v>
      </c>
      <c r="E63" s="8">
        <f t="shared" si="4"/>
        <v>1824</v>
      </c>
      <c r="F63" s="8">
        <f t="shared" si="7"/>
        <v>1852</v>
      </c>
      <c r="G63" s="8">
        <f t="shared" si="5"/>
        <v>1276</v>
      </c>
      <c r="H63" s="9">
        <v>705</v>
      </c>
      <c r="I63" s="7">
        <v>221</v>
      </c>
      <c r="J63" s="8">
        <v>350</v>
      </c>
      <c r="K63" s="8">
        <v>548</v>
      </c>
      <c r="L63" s="7">
        <v>576</v>
      </c>
      <c r="M63" s="44">
        <v>94</v>
      </c>
      <c r="N63" s="48">
        <v>152</v>
      </c>
      <c r="O63" s="48">
        <v>137</v>
      </c>
      <c r="P63" s="48">
        <v>88</v>
      </c>
      <c r="Q63" s="48">
        <v>115</v>
      </c>
      <c r="R63" s="8">
        <f t="shared" si="11"/>
        <v>2371</v>
      </c>
      <c r="S63" s="7">
        <v>1030</v>
      </c>
      <c r="T63" s="8">
        <v>117</v>
      </c>
      <c r="U63" s="4">
        <v>1195</v>
      </c>
      <c r="V63" s="7">
        <v>29</v>
      </c>
      <c r="W63" s="7">
        <v>15.7</v>
      </c>
      <c r="X63" s="24"/>
      <c r="Y63" s="30"/>
      <c r="Z63" s="31"/>
      <c r="AA63" s="24"/>
      <c r="AB63" s="24"/>
      <c r="AC63" s="24"/>
      <c r="AD63" s="24"/>
      <c r="AE63" s="24"/>
      <c r="AF63" s="2">
        <f t="shared" si="8"/>
        <v>367870000</v>
      </c>
      <c r="AG63" s="60"/>
      <c r="AH63" s="60"/>
      <c r="AI63" s="60"/>
      <c r="AJ63" s="60"/>
      <c r="AK63" s="60"/>
      <c r="AL63" s="60"/>
      <c r="AM63" s="60"/>
      <c r="AN63" s="60"/>
      <c r="AO63" s="2">
        <v>46.9</v>
      </c>
      <c r="AP63" s="2">
        <v>3.5</v>
      </c>
      <c r="AQ63" s="6">
        <f t="shared" si="6"/>
        <v>2016000000</v>
      </c>
      <c r="AS63" s="6">
        <v>67099999999.999992</v>
      </c>
      <c r="AT63" s="62">
        <f>AQ63*100/AS63</f>
        <v>3.0044709388971689</v>
      </c>
      <c r="AU63" s="20">
        <v>0.13600000000000001</v>
      </c>
      <c r="AW63" s="2" t="s">
        <v>130</v>
      </c>
      <c r="AY63" s="2">
        <v>1</v>
      </c>
      <c r="AZ63" s="2">
        <v>2021</v>
      </c>
      <c r="BA63" s="2" t="s">
        <v>135</v>
      </c>
      <c r="BD63" s="25">
        <v>9100</v>
      </c>
      <c r="BE63" s="20"/>
      <c r="BF63" s="24">
        <v>1274</v>
      </c>
      <c r="BG63" s="20">
        <v>0.627</v>
      </c>
      <c r="BH63" s="2" t="s">
        <v>122</v>
      </c>
      <c r="BI63" s="22">
        <f>405/4550</f>
        <v>8.9010989010989014E-2</v>
      </c>
      <c r="BR63" s="2">
        <v>182</v>
      </c>
      <c r="BS63" s="2">
        <v>273</v>
      </c>
      <c r="BT63" s="2">
        <v>273</v>
      </c>
    </row>
    <row r="64" spans="1:72" ht="15.75" customHeight="1" x14ac:dyDescent="0.15">
      <c r="A64" s="1" t="s">
        <v>88</v>
      </c>
      <c r="B64" s="50">
        <v>9453000</v>
      </c>
      <c r="C64" s="2">
        <v>-209.83473888888886</v>
      </c>
      <c r="D64" s="7">
        <v>2620</v>
      </c>
      <c r="E64" s="8">
        <f t="shared" si="4"/>
        <v>2087</v>
      </c>
      <c r="F64" s="8">
        <f t="shared" si="7"/>
        <v>2063</v>
      </c>
      <c r="G64" s="8">
        <f t="shared" si="5"/>
        <v>1530</v>
      </c>
      <c r="H64" s="9">
        <v>927</v>
      </c>
      <c r="I64" s="7">
        <v>218</v>
      </c>
      <c r="J64" s="8">
        <v>385</v>
      </c>
      <c r="K64" s="8">
        <v>557</v>
      </c>
      <c r="L64" s="7">
        <v>533</v>
      </c>
      <c r="M64" s="44">
        <v>87</v>
      </c>
      <c r="N64" s="48">
        <v>131</v>
      </c>
      <c r="O64" s="48">
        <v>132</v>
      </c>
      <c r="P64" s="48">
        <v>78</v>
      </c>
      <c r="Q64" s="48">
        <v>104</v>
      </c>
      <c r="R64" s="8">
        <f t="shared" si="11"/>
        <v>2507</v>
      </c>
      <c r="S64" s="7">
        <v>1063</v>
      </c>
      <c r="T64" s="8">
        <v>117</v>
      </c>
      <c r="U64" s="4">
        <v>1286</v>
      </c>
      <c r="V64" s="7">
        <v>41</v>
      </c>
      <c r="W64" s="7">
        <v>19.2</v>
      </c>
      <c r="X64" s="24"/>
      <c r="Y64" s="30"/>
      <c r="Z64" s="31"/>
      <c r="AA64" s="24"/>
      <c r="AB64" s="24"/>
      <c r="AC64" s="24"/>
      <c r="AD64" s="24"/>
      <c r="AE64" s="24"/>
      <c r="AF64" s="2">
        <f t="shared" si="8"/>
        <v>334360000</v>
      </c>
      <c r="AG64" s="60"/>
      <c r="AH64" s="60"/>
      <c r="AI64" s="60"/>
      <c r="AJ64" s="60"/>
      <c r="AK64" s="60"/>
      <c r="AL64" s="60"/>
      <c r="AM64" s="60"/>
      <c r="AN64" s="60"/>
      <c r="AO64" s="2">
        <v>45.38</v>
      </c>
      <c r="AP64" s="2">
        <v>3.5</v>
      </c>
      <c r="AQ64" s="6">
        <f t="shared" si="6"/>
        <v>1865500000</v>
      </c>
      <c r="AS64" s="6">
        <v>67099999999.999992</v>
      </c>
      <c r="AT64" s="62">
        <f t="shared" si="9"/>
        <v>2.7801788375558871</v>
      </c>
      <c r="AU64" s="20">
        <v>0.17</v>
      </c>
      <c r="AW64" s="2" t="s">
        <v>130</v>
      </c>
      <c r="AY64" s="2">
        <v>2</v>
      </c>
      <c r="AZ64" s="2">
        <v>2022</v>
      </c>
      <c r="BA64" s="2" t="s">
        <v>136</v>
      </c>
      <c r="BD64" s="25">
        <v>11106</v>
      </c>
      <c r="BE64" s="20"/>
      <c r="BF64" s="24">
        <v>3220</v>
      </c>
      <c r="BG64" s="20">
        <v>0.312</v>
      </c>
      <c r="BH64" s="2" t="s">
        <v>121</v>
      </c>
      <c r="BI64" s="22">
        <f>375/4097</f>
        <v>9.1530388088845491E-2</v>
      </c>
      <c r="BR64" s="2">
        <v>222</v>
      </c>
      <c r="BS64" s="2">
        <v>1776</v>
      </c>
      <c r="BT64" s="2">
        <v>666</v>
      </c>
    </row>
    <row r="65" spans="1:72" ht="15.75" customHeight="1" x14ac:dyDescent="0.15">
      <c r="A65" s="1" t="s">
        <v>89</v>
      </c>
      <c r="B65" s="50">
        <v>9662000</v>
      </c>
      <c r="C65" s="2">
        <v>-209.76497198879545</v>
      </c>
      <c r="D65" s="7">
        <v>2605</v>
      </c>
      <c r="E65" s="8">
        <f t="shared" si="4"/>
        <v>2065</v>
      </c>
      <c r="F65" s="8">
        <f t="shared" si="7"/>
        <v>2043</v>
      </c>
      <c r="G65" s="8">
        <f t="shared" si="5"/>
        <v>1503</v>
      </c>
      <c r="H65" s="9">
        <v>913</v>
      </c>
      <c r="I65" s="7">
        <v>188</v>
      </c>
      <c r="J65" s="8">
        <v>402</v>
      </c>
      <c r="K65" s="8">
        <v>562</v>
      </c>
      <c r="L65" s="7">
        <v>540</v>
      </c>
      <c r="M65" s="44">
        <v>84</v>
      </c>
      <c r="N65" s="48">
        <v>134</v>
      </c>
      <c r="O65" s="48">
        <v>133</v>
      </c>
      <c r="P65" s="48">
        <v>78</v>
      </c>
      <c r="Q65" s="48">
        <v>104</v>
      </c>
      <c r="R65" s="8">
        <f t="shared" si="11"/>
        <v>2461.3000000000002</v>
      </c>
      <c r="S65" s="7">
        <v>1090.9000000000001</v>
      </c>
      <c r="T65" s="8">
        <v>117</v>
      </c>
      <c r="U65" s="4">
        <v>1214.5999999999999</v>
      </c>
      <c r="V65" s="7">
        <v>38.799999999999997</v>
      </c>
      <c r="W65" s="27"/>
      <c r="X65" s="24"/>
      <c r="Y65" s="30"/>
      <c r="Z65" s="31"/>
      <c r="AA65" s="24"/>
      <c r="AB65" s="24"/>
      <c r="AC65" s="24"/>
      <c r="AD65" s="24"/>
      <c r="AE65" s="24"/>
      <c r="AF65" s="2">
        <f t="shared" si="8"/>
        <v>335010000</v>
      </c>
      <c r="AG65" s="60"/>
      <c r="AH65" s="60"/>
      <c r="AI65" s="60"/>
      <c r="AJ65" s="60"/>
      <c r="AK65" s="60"/>
      <c r="AL65" s="60"/>
      <c r="AM65" s="60"/>
      <c r="AN65" s="60"/>
      <c r="AO65" s="2">
        <v>51.73</v>
      </c>
      <c r="AP65" s="2">
        <v>3.5</v>
      </c>
      <c r="AQ65" s="6">
        <f t="shared" si="6"/>
        <v>1890000000</v>
      </c>
      <c r="AS65" s="6">
        <v>70900000000</v>
      </c>
      <c r="AT65" s="62">
        <f t="shared" si="9"/>
        <v>2.6657263751763045</v>
      </c>
      <c r="AU65" s="20">
        <v>0.21199999999999999</v>
      </c>
      <c r="AW65" s="2" t="s">
        <v>130</v>
      </c>
      <c r="AX65" s="23">
        <f>330000/9849000</f>
        <v>3.350593968930856E-2</v>
      </c>
      <c r="AY65" s="2">
        <v>2</v>
      </c>
      <c r="AZ65" s="2">
        <v>2023</v>
      </c>
      <c r="BA65" s="2" t="s">
        <v>167</v>
      </c>
      <c r="BD65" s="25">
        <v>9108</v>
      </c>
      <c r="BE65" s="20"/>
      <c r="BF65" s="24">
        <v>2823</v>
      </c>
      <c r="BG65" s="20">
        <v>0.63009999999999999</v>
      </c>
      <c r="BH65" s="2" t="s">
        <v>120</v>
      </c>
      <c r="BI65" s="22">
        <f>437/5064</f>
        <v>8.6295418641390204E-2</v>
      </c>
      <c r="BR65" s="2">
        <v>91</v>
      </c>
      <c r="BS65" s="2">
        <v>637</v>
      </c>
      <c r="BT65" s="2">
        <v>1092</v>
      </c>
    </row>
    <row r="66" spans="1:72" ht="15.75" customHeight="1" x14ac:dyDescent="0.15">
      <c r="A66" s="1" t="s">
        <v>90</v>
      </c>
      <c r="B66" s="50">
        <v>9990300</v>
      </c>
      <c r="C66" s="2">
        <v>-210.69225290697665</v>
      </c>
      <c r="D66" s="7">
        <v>2567</v>
      </c>
      <c r="E66" s="8">
        <f t="shared" si="4"/>
        <v>1980.4</v>
      </c>
      <c r="F66" s="8">
        <f t="shared" si="7"/>
        <v>1972.4</v>
      </c>
      <c r="G66" s="8">
        <f t="shared" si="5"/>
        <v>1385.8000000000002</v>
      </c>
      <c r="H66" s="9">
        <v>924.8</v>
      </c>
      <c r="I66" s="7">
        <v>159.30000000000001</v>
      </c>
      <c r="J66" s="8">
        <v>301.59999999999997</v>
      </c>
      <c r="K66" s="8">
        <v>594.6</v>
      </c>
      <c r="L66" s="7">
        <v>586.6</v>
      </c>
      <c r="M66" s="44">
        <v>86</v>
      </c>
      <c r="N66" s="48">
        <v>156</v>
      </c>
      <c r="O66" s="48">
        <v>139</v>
      </c>
      <c r="P66" s="48">
        <v>90</v>
      </c>
      <c r="Q66" s="48">
        <v>119</v>
      </c>
      <c r="R66" s="8">
        <f t="shared" si="11"/>
        <v>2530.3000000000002</v>
      </c>
      <c r="S66" s="7">
        <v>1108.2</v>
      </c>
      <c r="T66" s="8">
        <v>117</v>
      </c>
      <c r="U66" s="4">
        <v>1261.7</v>
      </c>
      <c r="V66" s="7">
        <v>43.4</v>
      </c>
      <c r="W66" s="27"/>
      <c r="X66" s="24"/>
      <c r="Y66" s="30"/>
      <c r="Z66" s="31"/>
      <c r="AA66" s="24"/>
      <c r="AB66" s="24"/>
      <c r="AC66" s="24"/>
      <c r="AD66" s="24"/>
      <c r="AE66" s="24"/>
      <c r="AF66" s="2">
        <f t="shared" si="8"/>
        <v>371490000</v>
      </c>
      <c r="AG66" s="60"/>
      <c r="AH66" s="60"/>
      <c r="AI66" s="60"/>
      <c r="AJ66" s="60"/>
      <c r="AK66" s="60"/>
      <c r="AL66" s="60"/>
      <c r="AM66" s="60"/>
      <c r="AN66" s="60"/>
      <c r="AO66" s="2">
        <v>51.34</v>
      </c>
      <c r="AP66" s="2">
        <v>3.5</v>
      </c>
      <c r="AQ66" s="6">
        <f t="shared" si="6"/>
        <v>2053100000</v>
      </c>
      <c r="AS66" s="6">
        <v>71700000000</v>
      </c>
      <c r="AT66" s="62">
        <f t="shared" si="9"/>
        <v>2.8634588563458858</v>
      </c>
      <c r="AU66" s="2">
        <v>24.4</v>
      </c>
      <c r="AW66" s="2" t="s">
        <v>130</v>
      </c>
      <c r="AY66" s="2">
        <v>3</v>
      </c>
      <c r="AZ66" s="2">
        <v>2023</v>
      </c>
      <c r="BA66" s="2" t="s">
        <v>168</v>
      </c>
      <c r="BD66" s="25">
        <v>13040</v>
      </c>
      <c r="BE66" s="20"/>
      <c r="BF66" s="24">
        <v>3301</v>
      </c>
      <c r="BG66" s="20">
        <v>0.24199999999999999</v>
      </c>
      <c r="BR66" s="2">
        <v>260</v>
      </c>
      <c r="BS66" s="2">
        <v>1695</v>
      </c>
      <c r="BT66" s="2">
        <v>1173</v>
      </c>
    </row>
    <row r="67" spans="1:72" ht="15.75" customHeight="1" x14ac:dyDescent="0.15">
      <c r="A67" s="1">
        <v>2024</v>
      </c>
      <c r="B67" s="51"/>
      <c r="C67" s="24">
        <v>-210.2466814159292</v>
      </c>
      <c r="D67" s="24"/>
      <c r="E67" s="24"/>
      <c r="F67" s="24"/>
      <c r="G67" s="24"/>
      <c r="H67" s="24"/>
      <c r="I67" s="24"/>
      <c r="J67" s="24"/>
      <c r="K67" s="24"/>
      <c r="L67" s="24"/>
      <c r="R67" s="24"/>
      <c r="S67" s="24"/>
      <c r="T67" s="24"/>
      <c r="U67" s="24"/>
      <c r="V67" s="24"/>
      <c r="W67" s="27"/>
      <c r="X67" s="24"/>
      <c r="Y67" s="24"/>
      <c r="Z67" s="24"/>
      <c r="AA67" s="24"/>
      <c r="AB67" s="24"/>
      <c r="AC67" s="24"/>
      <c r="AD67" s="24"/>
      <c r="AE67" s="24"/>
      <c r="AG67" s="60"/>
      <c r="AH67" s="60"/>
      <c r="AI67" s="60"/>
      <c r="AJ67" s="60"/>
      <c r="AK67" s="60"/>
      <c r="AL67" s="60"/>
      <c r="AM67" s="60"/>
      <c r="AN67" s="60"/>
      <c r="AO67" s="24"/>
      <c r="AP67" s="2">
        <v>3.5</v>
      </c>
      <c r="AS67" s="6">
        <v>74369000000</v>
      </c>
      <c r="AT67" s="62"/>
      <c r="AU67" s="2">
        <v>27.2</v>
      </c>
      <c r="AW67" s="2" t="s">
        <v>130</v>
      </c>
      <c r="AY67" s="2">
        <v>3</v>
      </c>
      <c r="AZ67" s="2">
        <v>2023</v>
      </c>
      <c r="BA67" s="2" t="s">
        <v>167</v>
      </c>
      <c r="BD67" s="25">
        <v>17078</v>
      </c>
      <c r="BE67" s="20"/>
      <c r="BF67" s="24">
        <v>10084</v>
      </c>
      <c r="BG67" s="20">
        <v>0.55459999999999998</v>
      </c>
      <c r="BR67" s="2">
        <v>85</v>
      </c>
      <c r="BS67" s="2">
        <v>1195</v>
      </c>
      <c r="BT67" s="2">
        <v>1878</v>
      </c>
    </row>
    <row r="68" spans="1:72" ht="15.75" customHeight="1" x14ac:dyDescent="0.15">
      <c r="A68" s="28">
        <v>2025</v>
      </c>
      <c r="B68" s="52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9"/>
      <c r="V68" s="24"/>
      <c r="W68" s="27"/>
      <c r="X68" s="24"/>
      <c r="Y68" s="24"/>
      <c r="Z68" s="24"/>
      <c r="AA68" s="24"/>
      <c r="AB68" s="24"/>
      <c r="AC68" s="24"/>
      <c r="AD68" s="24"/>
      <c r="AE68" s="24"/>
      <c r="AG68" s="60"/>
      <c r="AH68" s="60"/>
      <c r="AI68" s="60"/>
      <c r="AJ68" s="60"/>
      <c r="AK68" s="60"/>
      <c r="AL68" s="60"/>
      <c r="AM68" s="60"/>
      <c r="AN68" s="60"/>
      <c r="AO68" s="24"/>
      <c r="AP68" s="2">
        <v>3.5</v>
      </c>
      <c r="AY68" s="2">
        <v>3</v>
      </c>
    </row>
    <row r="69" spans="1:72" ht="15.75" customHeight="1" x14ac:dyDescent="0.15">
      <c r="D69" s="14"/>
      <c r="U69" s="5"/>
      <c r="AD69" s="24"/>
    </row>
    <row r="70" spans="1:72" ht="15.75" customHeight="1" x14ac:dyDescent="0.15"/>
    <row r="71" spans="1:72" ht="15.75" customHeight="1" x14ac:dyDescent="0.15"/>
    <row r="72" spans="1:72" ht="15.75" customHeight="1" x14ac:dyDescent="0.15"/>
    <row r="73" spans="1:72" ht="15.75" customHeight="1" x14ac:dyDescent="0.15"/>
    <row r="74" spans="1:72" ht="15.75" customHeight="1" x14ac:dyDescent="0.15"/>
    <row r="75" spans="1:72" ht="15.75" customHeight="1" x14ac:dyDescent="0.15"/>
    <row r="76" spans="1:72" ht="15.75" customHeight="1" x14ac:dyDescent="0.15"/>
    <row r="77" spans="1:72" ht="15.75" customHeight="1" x14ac:dyDescent="0.15"/>
    <row r="78" spans="1:72" ht="15.75" customHeight="1" x14ac:dyDescent="0.15"/>
    <row r="79" spans="1:72" ht="15.75" customHeight="1" x14ac:dyDescent="0.15"/>
    <row r="80" spans="1:72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לביא גבעון</dc:creator>
  <cp:lastModifiedBy>Karol Bot</cp:lastModifiedBy>
  <dcterms:created xsi:type="dcterms:W3CDTF">2025-08-17T10:45:48Z</dcterms:created>
  <dcterms:modified xsi:type="dcterms:W3CDTF">2025-10-30T18:54:35Z</dcterms:modified>
</cp:coreProperties>
</file>